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eeds Explanation" sheetId="2" r:id="rId2"/>
    <sheet name="Commentary" sheetId="3" r:id="rId3"/>
    <sheet name="Drill-down" sheetId="4" r:id="rId4"/>
    <sheet name="Data checks" sheetId="5" r:id="rId5"/>
    <sheet name="Data" sheetId="6" r:id="rId6"/>
    <sheet name="Settings" sheetId="7" r:id="rId7"/>
    <sheet name="Variance - By country" sheetId="8" r:id="rId8"/>
    <sheet name="Movement detail" sheetId="9" r:id="rId9"/>
    <sheet name="Source lines" sheetId="10" r:id="rId10"/>
    <sheet name="Classifications" sheetId="11" r:id="rId11"/>
    <sheet name="Unmatched lookups" sheetId="12" r:id="rId12"/>
    <sheet name="Data controls" sheetId="13" r:id="rId13"/>
    <sheet name="Setup changes" sheetId="14" r:id="rId14"/>
    <sheet name="Explanation log" sheetId="15" r:id="rId15"/>
    <sheet name="Run audit" sheetId="16" r:id="rId16"/>
    <sheet name="AI assistant log" sheetId="17" r:id="rId17"/>
    <sheet name="FluxSpec" sheetId="18" r:id="rId18"/>
  </sheets>
  <definedNames>
    <definedName name="_xlnm._FilterDatabase" localSheetId="2" hidden="1">Commentary!$A$1:$O$7</definedName>
    <definedName name="_xlnm._FilterDatabase" localSheetId="12" hidden="1">'Data controls'!$A$1:$D$12</definedName>
    <definedName name="_xlnm._FilterDatabase" localSheetId="5" hidden="1">Data!$A$1:$E$666</definedName>
    <definedName name="_xlnm._FilterDatabase" localSheetId="3" hidden="1">'Drill-down'!$A$1:$I$340</definedName>
    <definedName name="_xlnm._FilterDatabase" localSheetId="17" hidden="1">FluxSpec!$A$1:$A$214</definedName>
    <definedName name="_xlnm._FilterDatabase" localSheetId="8" hidden="1">'Movement detail'!$A$1:$M$7</definedName>
    <definedName name="_xlnm._FilterDatabase" localSheetId="15" hidden="1">'Run audit'!$A$1:$B$7</definedName>
    <definedName name="_xlnm._FilterDatabase" localSheetId="13" hidden="1">'Setup changes'!$A$1:$G$16</definedName>
    <definedName name="_xlnm._FilterDatabase" localSheetId="9" hidden="1">'Source lines'!$A$1:$G$37</definedName>
    <definedName name="_xlnm._FilterDatabase" localSheetId="7" hidden="1">'Variance - By country'!$A$1:$G$340</definedName>
    <definedName name="BaseMonths">Settings!$B$7:$B$7</definedName>
    <definedName name="BaseVersion">Settings!$B$9</definedName>
    <definedName name="CurrentMonths">Settings!$B$8:$B$8</definedName>
    <definedName name="CurrentVersion">Settings!$B$10</definedName>
    <definedName name="_xlnm.Print_Titles" localSheetId="2">Commentary!$1:$1</definedName>
    <definedName name="_xlnm.Print_Titles" localSheetId="3">'Drill-down'!$1:$1</definedName>
    <definedName name="_xlnm.Print_Titles" localSheetId="1">'Needs Explanation'!$1:$1</definedName>
    <definedName name="Threshold">Settings!$B$11</definedName>
    <definedName name="TotalBase">Summary!$A$5</definedName>
    <definedName name="TotalCurrent">Summary!$B$5</definedName>
  </definedNames>
  <calcPr calcId="124519" fullCalcOnLoad="1"/>
</workbook>
</file>

<file path=xl/sharedStrings.xml><?xml version="1.0" encoding="utf-8"?>
<sst xmlns="http://schemas.openxmlformats.org/spreadsheetml/2006/main" count="5868" uniqueCount="808">
  <si>
    <t>Report settings</t>
  </si>
  <si>
    <t>Report</t>
  </si>
  <si>
    <t>Untitled analysis</t>
  </si>
  <si>
    <t>Run ID</t>
  </si>
  <si>
    <t>2d9ad6a79f424c46a40c41620856df90</t>
  </si>
  <si>
    <t>Created (UTC)</t>
  </si>
  <si>
    <t>Comparison</t>
  </si>
  <si>
    <t>period_vs_period</t>
  </si>
  <si>
    <t>Base months</t>
  </si>
  <si>
    <t>2026-06</t>
  </si>
  <si>
    <t>Current months</t>
  </si>
  <si>
    <t>2026-07</t>
  </si>
  <si>
    <t>Base version</t>
  </si>
  <si>
    <t>All versions</t>
  </si>
  <si>
    <t>Current version</t>
  </si>
  <si>
    <t>Threshold</t>
  </si>
  <si>
    <t>Movements shown (top N)</t>
  </si>
  <si>
    <t>Remaining movements label</t>
  </si>
  <si>
    <t>Other items</t>
  </si>
  <si>
    <t>Currency</t>
  </si>
  <si>
    <t>$</t>
  </si>
  <si>
    <t>How amounts are calculated</t>
  </si>
  <si>
    <t>Formulas over the Data sheet</t>
  </si>
  <si>
    <t>Why</t>
  </si>
  <si>
    <t>Every line was checked against the engine before saving.</t>
  </si>
  <si>
    <t>Setup fingerprint (SHA-256)</t>
  </si>
  <si>
    <t>0964d7c5009905b14343263bfc4d4611cc49866d5ca11585bbf44538e7815f90</t>
  </si>
  <si>
    <t>Change Threshold to see which movements cross it. The list of movements was chosen when the report ran; run the report again to change months, versions or the list.</t>
  </si>
  <si>
    <t>Country</t>
  </si>
  <si>
    <t>Region</t>
  </si>
  <si>
    <t>Ibx_Code</t>
  </si>
  <si>
    <t>Month</t>
  </si>
  <si>
    <t>Amount</t>
  </si>
  <si>
    <t>Australia</t>
  </si>
  <si>
    <t>APAC</t>
  </si>
  <si>
    <t>AE1</t>
  </si>
  <si>
    <t>BR1</t>
  </si>
  <si>
    <t>CA1</t>
  </si>
  <si>
    <t>ME1</t>
  </si>
  <si>
    <t>ME2</t>
  </si>
  <si>
    <t>ME4</t>
  </si>
  <si>
    <t>ME5</t>
  </si>
  <si>
    <t>PE1</t>
  </si>
  <si>
    <t>PE2</t>
  </si>
  <si>
    <t>PE3</t>
  </si>
  <si>
    <t>REMOTE LOCATION - AU</t>
  </si>
  <si>
    <t>SY1</t>
  </si>
  <si>
    <t>SY2</t>
  </si>
  <si>
    <t>SY3</t>
  </si>
  <si>
    <t>SY4</t>
  </si>
  <si>
    <t>SY5</t>
  </si>
  <si>
    <t>SY6</t>
  </si>
  <si>
    <t>SY7</t>
  </si>
  <si>
    <t>SYDNEY OFFICE</t>
  </si>
  <si>
    <t>Brazil</t>
  </si>
  <si>
    <t>AMER</t>
  </si>
  <si>
    <t>RIO DE JANEIRO OFFICE</t>
  </si>
  <si>
    <t>RJ1</t>
  </si>
  <si>
    <t>RJ2</t>
  </si>
  <si>
    <t>RJ3</t>
  </si>
  <si>
    <t>SAO PAULO OFFICE</t>
  </si>
  <si>
    <t>SP1</t>
  </si>
  <si>
    <t>SP2</t>
  </si>
  <si>
    <t>SP3</t>
  </si>
  <si>
    <t>SP4</t>
  </si>
  <si>
    <t>SP6</t>
  </si>
  <si>
    <t>Bulgaria</t>
  </si>
  <si>
    <t>EMEA</t>
  </si>
  <si>
    <t>SO1</t>
  </si>
  <si>
    <t>SO2</t>
  </si>
  <si>
    <t>Canada</t>
  </si>
  <si>
    <t>CL1</t>
  </si>
  <si>
    <t>CL2</t>
  </si>
  <si>
    <t>CL3</t>
  </si>
  <si>
    <t>KA1</t>
  </si>
  <si>
    <t>MT1</t>
  </si>
  <si>
    <t>MT2</t>
  </si>
  <si>
    <t>MT97</t>
  </si>
  <si>
    <t>OT1</t>
  </si>
  <si>
    <t>SJ1</t>
  </si>
  <si>
    <t>TORONTO (TRO) OFFICE</t>
  </si>
  <si>
    <t>TR1</t>
  </si>
  <si>
    <t>TR2</t>
  </si>
  <si>
    <t>TR5</t>
  </si>
  <si>
    <t>TR6</t>
  </si>
  <si>
    <t>TR7</t>
  </si>
  <si>
    <t>VA1</t>
  </si>
  <si>
    <t>WI1</t>
  </si>
  <si>
    <t>Chile</t>
  </si>
  <si>
    <t>SANTIAGO OFFICE</t>
  </si>
  <si>
    <t>ST1</t>
  </si>
  <si>
    <t>ST2</t>
  </si>
  <si>
    <t>ST3</t>
  </si>
  <si>
    <t>ST4</t>
  </si>
  <si>
    <t>China</t>
  </si>
  <si>
    <t>SH2</t>
  </si>
  <si>
    <t>SH3</t>
  </si>
  <si>
    <t>SH5</t>
  </si>
  <si>
    <t>SH6</t>
  </si>
  <si>
    <t>SHANGHAI OFFICE</t>
  </si>
  <si>
    <t>Colombia</t>
  </si>
  <si>
    <t>BG1</t>
  </si>
  <si>
    <t>BG2</t>
  </si>
  <si>
    <t>BOGOTA OFFICE BGS</t>
  </si>
  <si>
    <t>Finland</t>
  </si>
  <si>
    <t>HE1</t>
  </si>
  <si>
    <t>HE3</t>
  </si>
  <si>
    <t>HE4</t>
  </si>
  <si>
    <t>HE5</t>
  </si>
  <si>
    <t>HE6</t>
  </si>
  <si>
    <t>HE7</t>
  </si>
  <si>
    <t>France</t>
  </si>
  <si>
    <t>BX1</t>
  </si>
  <si>
    <t>PA1</t>
  </si>
  <si>
    <t>PA10</t>
  </si>
  <si>
    <t>PA14</t>
  </si>
  <si>
    <t>PA2</t>
  </si>
  <si>
    <t>PA3</t>
  </si>
  <si>
    <t>PA4</t>
  </si>
  <si>
    <t>PA5</t>
  </si>
  <si>
    <t>PA6</t>
  </si>
  <si>
    <t>PA7</t>
  </si>
  <si>
    <t>PARIS OFFICE</t>
  </si>
  <si>
    <t>Germany</t>
  </si>
  <si>
    <t>DU1</t>
  </si>
  <si>
    <t>FR SUBSTATION 1</t>
  </si>
  <si>
    <t>FR1</t>
  </si>
  <si>
    <t>FR13</t>
  </si>
  <si>
    <t>FR2</t>
  </si>
  <si>
    <t>FR4</t>
  </si>
  <si>
    <t>FR5</t>
  </si>
  <si>
    <t>FR6</t>
  </si>
  <si>
    <t>FR7</t>
  </si>
  <si>
    <t>FR8</t>
  </si>
  <si>
    <t>FRANKFURT (FOX) OFFICE</t>
  </si>
  <si>
    <t>FRANKFURT (FRN) OFFICE</t>
  </si>
  <si>
    <t>HH1</t>
  </si>
  <si>
    <t>MU1</t>
  </si>
  <si>
    <t>MU3</t>
  </si>
  <si>
    <t>MU4</t>
  </si>
  <si>
    <t>Ghana</t>
  </si>
  <si>
    <t>AC1</t>
  </si>
  <si>
    <t>ACCRA CLS - ACA</t>
  </si>
  <si>
    <t>ACCRA OFFICE ACO</t>
  </si>
  <si>
    <t>Hong Kong</t>
  </si>
  <si>
    <t>HK1</t>
  </si>
  <si>
    <t>HK2</t>
  </si>
  <si>
    <t>HK3</t>
  </si>
  <si>
    <t>HK4</t>
  </si>
  <si>
    <t>HK5</t>
  </si>
  <si>
    <t>HK6</t>
  </si>
  <si>
    <t>HONG KONG OFFICE</t>
  </si>
  <si>
    <t>India</t>
  </si>
  <si>
    <t>CN1</t>
  </si>
  <si>
    <t>MB1</t>
  </si>
  <si>
    <t>MB2</t>
  </si>
  <si>
    <t>MB3</t>
  </si>
  <si>
    <t>MB4</t>
  </si>
  <si>
    <t>MUMBAI OFFICE - PLATINA TOWER</t>
  </si>
  <si>
    <t>Indonesia</t>
  </si>
  <si>
    <t>JK1</t>
  </si>
  <si>
    <t>Ireland</t>
  </si>
  <si>
    <t>DB1</t>
  </si>
  <si>
    <t>DB2</t>
  </si>
  <si>
    <t>DB3</t>
  </si>
  <si>
    <t>DB4</t>
  </si>
  <si>
    <t>DB9</t>
  </si>
  <si>
    <t>DUBLIN OFFICE</t>
  </si>
  <si>
    <t>DUBLIN OFFICE DBO1</t>
  </si>
  <si>
    <t>Italy</t>
  </si>
  <si>
    <t>GN1</t>
  </si>
  <si>
    <t>ML SUBSTATION 1</t>
  </si>
  <si>
    <t>ML1</t>
  </si>
  <si>
    <t>ML2</t>
  </si>
  <si>
    <t>ML3</t>
  </si>
  <si>
    <t>ML5</t>
  </si>
  <si>
    <t>Ivory Coast</t>
  </si>
  <si>
    <t>AB1</t>
  </si>
  <si>
    <t>ABIDJAN OFFICE ABO</t>
  </si>
  <si>
    <t>CÔTE D’IVOIRE CLS – ABA</t>
  </si>
  <si>
    <t>CÔTE D’IVOIRE CLS – ABB</t>
  </si>
  <si>
    <t>Japan</t>
  </si>
  <si>
    <t>OS1</t>
  </si>
  <si>
    <t>OS3</t>
  </si>
  <si>
    <t>TOKYO (TENNOZU) OFFICE</t>
  </si>
  <si>
    <t>TOKYO MIDTOWN OFFICE</t>
  </si>
  <si>
    <t>TY1</t>
  </si>
  <si>
    <t>TY10</t>
  </si>
  <si>
    <t>TY11</t>
  </si>
  <si>
    <t>TY15</t>
  </si>
  <si>
    <t>TY2</t>
  </si>
  <si>
    <t>TY3</t>
  </si>
  <si>
    <t>TY4</t>
  </si>
  <si>
    <t>TY5</t>
  </si>
  <si>
    <t>TY6</t>
  </si>
  <si>
    <t>TY7</t>
  </si>
  <si>
    <t>TY8</t>
  </si>
  <si>
    <t>TY9</t>
  </si>
  <si>
    <t>Korea</t>
  </si>
  <si>
    <t>SEOUL OFFICE SLO</t>
  </si>
  <si>
    <t>SL1</t>
  </si>
  <si>
    <t>WEWORK SERVICED OFFICE - YEOUIDO</t>
  </si>
  <si>
    <t>Malaysia</t>
  </si>
  <si>
    <t>JH1</t>
  </si>
  <si>
    <t>JH2</t>
  </si>
  <si>
    <t>KL1</t>
  </si>
  <si>
    <t>Mauritius</t>
  </si>
  <si>
    <t>MAURITIUS (MAINONE)</t>
  </si>
  <si>
    <t>Mexico</t>
  </si>
  <si>
    <t>MO1</t>
  </si>
  <si>
    <t>MO2</t>
  </si>
  <si>
    <t>MX1</t>
  </si>
  <si>
    <t>MX2</t>
  </si>
  <si>
    <t>Netherlands</t>
  </si>
  <si>
    <t>AM1</t>
  </si>
  <si>
    <t>AM11</t>
  </si>
  <si>
    <t>AM12</t>
  </si>
  <si>
    <t>AM2</t>
  </si>
  <si>
    <t>AM3</t>
  </si>
  <si>
    <t>AM4</t>
  </si>
  <si>
    <t>AM5</t>
  </si>
  <si>
    <t>AM6</t>
  </si>
  <si>
    <t>AM7</t>
  </si>
  <si>
    <t>AM8</t>
  </si>
  <si>
    <t>AM9</t>
  </si>
  <si>
    <t>AMSTERDAM (RBT) OFFICE</t>
  </si>
  <si>
    <t>BL1</t>
  </si>
  <si>
    <t>EN1</t>
  </si>
  <si>
    <t>ZW1</t>
  </si>
  <si>
    <t>Nigeria</t>
  </si>
  <si>
    <t>ABUJA OFFICE AJO</t>
  </si>
  <si>
    <t>BENIN CITY OFFICE BEO</t>
  </si>
  <si>
    <t>BENIN CITY WAREHOUSE BEW</t>
  </si>
  <si>
    <t>LAGOS IKEJA OFFICE LGO2</t>
  </si>
  <si>
    <t>LAGOS IKEJA WAREHOUSE LGW2</t>
  </si>
  <si>
    <t>LAGOS ILUPEJU OFFICE LGO4</t>
  </si>
  <si>
    <t>LAGOS LEKKI OFFICE LGO5</t>
  </si>
  <si>
    <t>LAGOS SHAGAMU WAREHOUSE LGW1</t>
  </si>
  <si>
    <t>LAGOS TOPNOTCH OFFICE LGO3</t>
  </si>
  <si>
    <t>LG1</t>
  </si>
  <si>
    <t>LG2</t>
  </si>
  <si>
    <t>LG3 LAGOS</t>
  </si>
  <si>
    <t>LG5 LAGOS</t>
  </si>
  <si>
    <t>LG98</t>
  </si>
  <si>
    <t>LG99</t>
  </si>
  <si>
    <t>NIGERIA FABAC CENTRE OFFICE (MAINONE)</t>
  </si>
  <si>
    <t>PORT HARCOURT OFFICE PRO</t>
  </si>
  <si>
    <t>PR1</t>
  </si>
  <si>
    <t>UYO WAREHOUSE UYW</t>
  </si>
  <si>
    <t>Peru</t>
  </si>
  <si>
    <t>LM1</t>
  </si>
  <si>
    <t>Philippines</t>
  </si>
  <si>
    <t>MANILA OFFICE MNS1</t>
  </si>
  <si>
    <t>MN1</t>
  </si>
  <si>
    <t>MN2</t>
  </si>
  <si>
    <t>MN3</t>
  </si>
  <si>
    <t>Poland</t>
  </si>
  <si>
    <t>WA1</t>
  </si>
  <si>
    <t>WA2</t>
  </si>
  <si>
    <t>WA3</t>
  </si>
  <si>
    <t>WARSAW (SPIRE) OFFICE</t>
  </si>
  <si>
    <t>Portugal</t>
  </si>
  <si>
    <t>LS1</t>
  </si>
  <si>
    <t>LS2</t>
  </si>
  <si>
    <t>PORTUGAL CLS - LSA</t>
  </si>
  <si>
    <t>PORTUGAL OFFICE (MAINONE)</t>
  </si>
  <si>
    <t>Singapore</t>
  </si>
  <si>
    <t>SG1</t>
  </si>
  <si>
    <t>SG2</t>
  </si>
  <si>
    <t>SG3</t>
  </si>
  <si>
    <t>SG4</t>
  </si>
  <si>
    <t>SG5</t>
  </si>
  <si>
    <t>SINGAPORE OFFICE</t>
  </si>
  <si>
    <t>South Africa</t>
  </si>
  <si>
    <t>JN1</t>
  </si>
  <si>
    <t>JOHANNESBURG (SERVICED) OFFICE</t>
  </si>
  <si>
    <t>Spain</t>
  </si>
  <si>
    <t>BA1</t>
  </si>
  <si>
    <t>BA2</t>
  </si>
  <si>
    <t>MADRID (MD2) OFFICE</t>
  </si>
  <si>
    <t>MD1</t>
  </si>
  <si>
    <t>MD2</t>
  </si>
  <si>
    <t>MD5</t>
  </si>
  <si>
    <t>MD6</t>
  </si>
  <si>
    <t>Sweden</t>
  </si>
  <si>
    <t>SK1</t>
  </si>
  <si>
    <t>SK2</t>
  </si>
  <si>
    <t>SK3</t>
  </si>
  <si>
    <t>STOCKHOLM OFFICE</t>
  </si>
  <si>
    <t>Switzerland</t>
  </si>
  <si>
    <t>GV1</t>
  </si>
  <si>
    <t>GV2</t>
  </si>
  <si>
    <t>ZH1</t>
  </si>
  <si>
    <t>ZH2</t>
  </si>
  <si>
    <t>ZH4</t>
  </si>
  <si>
    <t>ZH5</t>
  </si>
  <si>
    <t>Turkey</t>
  </si>
  <si>
    <t>IL2</t>
  </si>
  <si>
    <t>IL3X ISTANBUL</t>
  </si>
  <si>
    <t>IL4</t>
  </si>
  <si>
    <t>United Arab Emirates</t>
  </si>
  <si>
    <t>AD1</t>
  </si>
  <si>
    <t>DX1</t>
  </si>
  <si>
    <t>DX2</t>
  </si>
  <si>
    <t>DX3</t>
  </si>
  <si>
    <t>United Kingdom</t>
  </si>
  <si>
    <t>LD-A</t>
  </si>
  <si>
    <t>LD10</t>
  </si>
  <si>
    <t>LD2</t>
  </si>
  <si>
    <t>LD3</t>
  </si>
  <si>
    <t>LD4</t>
  </si>
  <si>
    <t>LD5</t>
  </si>
  <si>
    <t>LD6</t>
  </si>
  <si>
    <t>LD7</t>
  </si>
  <si>
    <t>LD8</t>
  </si>
  <si>
    <t>LD9</t>
  </si>
  <si>
    <t>LONDON (353) OFFICE</t>
  </si>
  <si>
    <t>LONDON (DSQ) OFFICE</t>
  </si>
  <si>
    <t>MA1</t>
  </si>
  <si>
    <t>MA3</t>
  </si>
  <si>
    <t>MA4</t>
  </si>
  <si>
    <t>MA5</t>
  </si>
  <si>
    <t>United States</t>
  </si>
  <si>
    <t>ARQUES OFFICE</t>
  </si>
  <si>
    <t>ASHBURN EXEC OFFICE</t>
  </si>
  <si>
    <t>AT1</t>
  </si>
  <si>
    <t>AT4</t>
  </si>
  <si>
    <t>BO2</t>
  </si>
  <si>
    <t>CH1</t>
  </si>
  <si>
    <t>CH2</t>
  </si>
  <si>
    <t>CH3</t>
  </si>
  <si>
    <t>CH4</t>
  </si>
  <si>
    <t>CH7</t>
  </si>
  <si>
    <t>CHICAGO OFFICE</t>
  </si>
  <si>
    <t>CHICAGO OFFICE CHO1</t>
  </si>
  <si>
    <t>CU1</t>
  </si>
  <si>
    <t>CU2</t>
  </si>
  <si>
    <t>CU3</t>
  </si>
  <si>
    <t>CU4</t>
  </si>
  <si>
    <t>CU6</t>
  </si>
  <si>
    <t>DA1</t>
  </si>
  <si>
    <t>DA11</t>
  </si>
  <si>
    <t>DA2</t>
  </si>
  <si>
    <t>DA3</t>
  </si>
  <si>
    <t>DA4</t>
  </si>
  <si>
    <t>DA6</t>
  </si>
  <si>
    <t>DA7</t>
  </si>
  <si>
    <t>DA9</t>
  </si>
  <si>
    <t>DAL DALLAS</t>
  </si>
  <si>
    <t>DALLAS INFOMART OFFICE DAI</t>
  </si>
  <si>
    <t>DC1</t>
  </si>
  <si>
    <t>DC10</t>
  </si>
  <si>
    <t>DC11</t>
  </si>
  <si>
    <t>DC12</t>
  </si>
  <si>
    <t>DC13</t>
  </si>
  <si>
    <t>DC14</t>
  </si>
  <si>
    <t>DC15</t>
  </si>
  <si>
    <t>DC16</t>
  </si>
  <si>
    <t>DC2</t>
  </si>
  <si>
    <t>DC21</t>
  </si>
  <si>
    <t>DC22</t>
  </si>
  <si>
    <t>DC3</t>
  </si>
  <si>
    <t>DC4</t>
  </si>
  <si>
    <t>DC5</t>
  </si>
  <si>
    <t>DC6</t>
  </si>
  <si>
    <t>DC7</t>
  </si>
  <si>
    <t>DC97</t>
  </si>
  <si>
    <t>DE1</t>
  </si>
  <si>
    <t>DE2</t>
  </si>
  <si>
    <t>DENVER OFFICE</t>
  </si>
  <si>
    <t>GLOBAL HQ</t>
  </si>
  <si>
    <t>HO1</t>
  </si>
  <si>
    <t>LA1</t>
  </si>
  <si>
    <t>LA2</t>
  </si>
  <si>
    <t>LA3</t>
  </si>
  <si>
    <t>LA4</t>
  </si>
  <si>
    <t>LA7</t>
  </si>
  <si>
    <t>MI1</t>
  </si>
  <si>
    <t>MI2</t>
  </si>
  <si>
    <t>MI3</t>
  </si>
  <si>
    <t>MI6</t>
  </si>
  <si>
    <t>NEW YORK CITY OFFICE NYO1</t>
  </si>
  <si>
    <t>NY1</t>
  </si>
  <si>
    <t>NY11</t>
  </si>
  <si>
    <t>NY13</t>
  </si>
  <si>
    <t>NY2</t>
  </si>
  <si>
    <t>NY3</t>
  </si>
  <si>
    <t>NY4</t>
  </si>
  <si>
    <t>NY5</t>
  </si>
  <si>
    <t>NY6</t>
  </si>
  <si>
    <t>NY7</t>
  </si>
  <si>
    <t>NY9</t>
  </si>
  <si>
    <t>PH1</t>
  </si>
  <si>
    <t>SE2</t>
  </si>
  <si>
    <t>SE3</t>
  </si>
  <si>
    <t>SE4</t>
  </si>
  <si>
    <t>SV1</t>
  </si>
  <si>
    <t>SV10</t>
  </si>
  <si>
    <t>SV11</t>
  </si>
  <si>
    <t>SV12</t>
  </si>
  <si>
    <t>SV12x</t>
  </si>
  <si>
    <t>SV14</t>
  </si>
  <si>
    <t>SV15</t>
  </si>
  <si>
    <t>SV16</t>
  </si>
  <si>
    <t>SV18</t>
  </si>
  <si>
    <t>SV2</t>
  </si>
  <si>
    <t>SV20 SILICON VALLEY</t>
  </si>
  <si>
    <t>SV3</t>
  </si>
  <si>
    <t>SV4</t>
  </si>
  <si>
    <t>SV5</t>
  </si>
  <si>
    <t>SV8</t>
  </si>
  <si>
    <t>TAMPA OFFICE</t>
  </si>
  <si>
    <t>Movement</t>
  </si>
  <si>
    <t>Base</t>
  </si>
  <si>
    <t>Current</t>
  </si>
  <si>
    <t>Change</t>
  </si>
  <si>
    <t>Change %</t>
  </si>
  <si>
    <t>Above threshold?</t>
  </si>
  <si>
    <t>Status</t>
  </si>
  <si>
    <t>Explanation</t>
  </si>
  <si>
    <t>Written by</t>
  </si>
  <si>
    <t>Confirmed by</t>
  </si>
  <si>
    <t>Confirmed (UTC)</t>
  </si>
  <si>
    <t>Evidence</t>
  </si>
  <si>
    <t>Brazil / AMER / SP3</t>
  </si>
  <si>
    <t>Needs explanation</t>
  </si>
  <si>
    <t>-$0.4M — Brazil / AMER / SP3. [TO VERIFY] Confirm the business cause.</t>
  </si>
  <si>
    <t>Placeholder</t>
  </si>
  <si>
    <t/>
  </si>
  <si>
    <t>GAO6111_AP_0626_AMER Manual Acc_A5-NoXZSEfGJGSVu_9IVgQ-300000131614726-ACCR-100002823917343 , VERTIV TECNOLOGIA DO BRASIL LTDA|R&amp;M , 8002 , 14429487 (-$0.1M); GAO6111_AP_0626_AMER Manual Acc_A5-NoXZSEfGJGSVu_9IVgQ-300000131614726-ACCR-100002823917343 , VERTIV TECNOLOGIA DO BRASIL LTDA|R&amp;M , 8002 , 14429488 (-$0.1M); GAO5203_MD_0626_OpenPOCath_lnw3d3VcEfGJGSVu_9IVgQ-300000131614726-ACCR-100002819269393 , 1110592271-1_VERTIV TECNOLOGIA DO BRASIL LTDA_SP3  Vertiv as per amendm (-$0.1M); GAO5203_MD_0626_OpenPOCath_lnw3d3VcEfGJGSVu_9IVgQ-300000131614726-ACCR-100002819269393 , 1110592271-1_VERTIV TECNOLOGIA DO BRASIL LTDA_SP3  Vertiv as per amendm (-$0.1M); PO Number: 1110572259 , PO Line Number: 1 ,Supplier Name: CUMMINS VENDAS E SERVICOS DE MOTORES E GERADORES LTDA Invoice Number: 343422-4-20260521-61838884000142 (-$36,053.72)</t>
  </si>
  <si>
    <t>Germany / EMEA / FR2</t>
  </si>
  <si>
    <t>-$0.4M — Germany / EMEA / FR2. [TO VERIFY] Confirm the business cause.</t>
  </si>
  <si>
    <t>GAO5049_KB_0526_OpenPO WW_VHUHT1qnEfGpxZVkiKiA2g-300000131614726-ACCR-100002737255229 , 1590535725-2_ACTEMIUM CEGELEC GMBH_FR2.1-6 2026 Q2 maintenance of fire m (+$0.1M); PO Number: 1590535725 , PO Line Number: 2 ,Supplier Name: ACTEMIUM CEGELEC GMBH Invoice Number: 1870021642 Description: FR2.1-6 2026 Q2 maintenance of fire moni (-$0.1M); GAO5049_KB_0526_OpenPO WW_VHUHT1qnEfGpxZVkiKiA2g-300000131614726-ACCR-100002737255229 , 1590566063-1_SOCOMEC GMBH_FR2 Impedance measurement Semi Annual Maintena (+$0.1M); PO Number: 1590566063 , PO Line Number: 1 ,Supplier Name: SOCOMEC GMBH Invoice Number: 800 / 31256535 Description: FR2 Impedance measurement Semi Annual Mainten (-$0.1M); GAO5049_KB_0626_OpenPO WW_5MUniXOlEfGxWZ1NRsFAkA-300000131614726-ACCR-100002808784117 , 1590548361-1_HEINRICH BOLLMANN GMBH_FR2 - 2026 Sachkundigenprfung und Wa (-$0.1M)</t>
  </si>
  <si>
    <t>United States / AMER / DC12</t>
  </si>
  <si>
    <t>-$0.4M — United States / AMER / DC12. [TO VERIFY] Confirm the business cause.</t>
  </si>
  <si>
    <t>GAO5049_KB_0626_OpenPO WW_5MUniXOlEfGxWZ1NRsFAkA-300000131614726-ACCR-100002809437203 , 1040590899-1_EBM PAPST INC US CT FARMI IV 456_DC12-EBMPAPST as per quote (-$0.2M); GAO5049_KB_0626_OpenPO WW_5MUniXOlEfGxWZ1NRsFAkA-300000131614726-ACCR-100002809437203 , 1040590899-1_EBM PAPST INC US CT FARMI IV 456_DC12-EBMPAPST as per quote (-$0.2M); GAO5049_KB_0726_OpenPO WW_M3Z9-4xYEfGhDpMHE24o3Q-300000131614726-ACCR-100002877409113 , 1040590899-1_EBM PAPST INC US CT FARMI IV 456_DC12-EBMPAPST as per quote (+$0.2M); GAO5049_KB_0526_OpenPO WW_VHUHT1qnEfGpxZVkiKiA2g-300000131614726-ACCR-100002737453098 , 1040543939-1_EBM PAPST INC US CT FARMI IV 456_DC12: Supply Fan Part #R3G (+$0.2M); GAO5049_KB_0626_OpenPO WW_5MUniXOlEfGxWZ1NRsFAkA-300000131614726-ACCR-100002809437203 , 1040543939-1_EBM PAPST INC US CT FARMI IV 456_DC12: Supply Fan Part #R3G (-$0.2M)</t>
  </si>
  <si>
    <t>United States / AMER / NY7</t>
  </si>
  <si>
    <t>-$0.4M — United States / AMER / NY7. [TO VERIFY] Confirm the business cause.</t>
  </si>
  <si>
    <t>PO Number: 1040573824 , PO Line Number: 2 ,Supplier Name: CARRIER CORPORATION Invoice Number: 90543992 Description: NY7: Labor per Carrier quote dated 04/06/202 (-$29,362.39); PO Number: 1040566040 , PO Line Number: 2 ,Supplier Name: ORR PROTECTION SYSTEMS INC Invoice Number: IN-0086444 Description: NY7: Q2 2026 - Orr Fire protection  (+$22,124.69); GAO5049_KB_0526_OpenPO WW_VHUHT1qnEfGpxZVkiKiA2g-300000131614726-ACCR-100002737453098 , 1040457223-1_NALCO COMPANY FKA ONDEO NALCO COMPANY_NY7 $41032.14-BPO Che (+$19,142.64); GAO5049_KB_0626_OpenPO WW_5MUniXOlEfGxWZ1NRsFAkA-300000131614726-ACCR-100002809437203 , 1040457223-1_NALCO COMPANY FKA ONDEO NALCO COMPANY_NY7 $41032.14-BPO Che (-$19,142.64)</t>
  </si>
  <si>
    <t>Singapore / APAC / SG4</t>
  </si>
  <si>
    <t>+$0.3M — Singapore / APAC / SG4. [TO VERIFY] Confirm the business cause.</t>
  </si>
  <si>
    <t>PO Number: 1400559725 , PO Line Number: 1 ,Supplier Name: EATON ELECTRIC SINGAPORE PTE LTD Invoice Number: 957921169 Description: UPS Model: Eaton 9395P-1200kVA (+$0.1M); GAO5153_NS_0726_OpePO APACRe_K1IRko2YEfGhDpMHE24o3Q-300000131614726-ACCR-100002883223886 , 1400585681-1_ROCKWELL AUTOMATION SOUTHEAST ASIA PTE LIMITED_SG4 CPOS  (+$0.1M); PO Number: 1400583089 , PO Line Number: 1 ,Supplier Name: LC ENGINEERING SERVICES PTE LTD Invoice Number: 26/J-1333/I-29468 Description: SG4 Level 1/2/3/4/5/7.  (+$0.1M); GAO5153_NS_0726_OpePO APACRe_K1IRko2YEfGhDpMHE24o3Q-300000131614726-ACCR-100002883223886 , 1400559720-1_EATON ELECTRIC SINGAPORE PTE LTD_SN1 Non Comprehensive M (+$38,693.52); GAO5153_NS_0626_OpePO APACRe_xG9IjHShEfGxWZ1NRsFAkA-300000131614726-ACCR-100002813198521 , 1400559720-1_EATON ELECTRIC SINGAPORE PTE LTD_SN1 Non Comprehensive M (-$33,623.26)</t>
  </si>
  <si>
    <t>Grouped</t>
  </si>
  <si>
    <t>Below threshold</t>
  </si>
  <si>
    <t>-$4.7M — Other items. [TO VERIFY] Confirm the business cause.</t>
  </si>
  <si>
    <t>GAO5049_KB_0526_OpenPO WW_VHUHT1qnEfGpxZVkiKiA2g-300000131614726-ACCR-100002737453098 , 1040525989-2_TAMPA ARMATURE WORKS INC DBA INTEGRATED POWER SERVICES_MI6  (+$0.2M); GAO5049_KB_0626_OpenPO WW_5MUniXOlEfGxWZ1NRsFAkA-300000131614726-ACCR-100002809437203 , 1040525989-2_TAMPA ARMATURE WORKS INC DBA INTEGRATED POWER SERVICES_MI6  (-$0.2M); GAO5049_KB_0626_OpenPO WW_5MUniXOlEfGxWZ1NRsFAkA-300000131614726-ACCR-100002809437203 , 1040525989-2_TAMPA ARMATURE WORKS INC DBA INTEGRATED POWER SERVICES_MI6  (-$0.2M); GAO5049_KB_0726_OpenPO WW_M3Z9-4xYEfGhDpMHE24o3Q-300000131614726-ACCR-100002877409113 , 1040525989-2_TAMPA ARMATURE WORKS INC DBA INTEGRATED POWER SERVICES_MI6  (+$0.2M)</t>
  </si>
  <si>
    <t>Jul 2026 compared with Jun 2026 · Prepared 28 Oct 2026 14:23 UTC</t>
  </si>
  <si>
    <t>Base total</t>
  </si>
  <si>
    <t>Current total</t>
  </si>
  <si>
    <t>Movement %</t>
  </si>
  <si>
    <t>Explanation status</t>
  </si>
  <si>
    <t>Explained by AI — please review</t>
  </si>
  <si>
    <t>Confirmed</t>
  </si>
  <si>
    <t>5 movements still need a person to write or check the explanation — open Needs Explanation</t>
  </si>
  <si>
    <t>Headline</t>
  </si>
  <si>
    <t>Key drivers</t>
  </si>
  <si>
    <t>What is in this workbook</t>
  </si>
  <si>
    <t>Review</t>
  </si>
  <si>
    <t>Summary</t>
  </si>
  <si>
    <t>This overview: totals, explanation status, key drivers and a guide to the tabs.</t>
  </si>
  <si>
    <t>Needs Explanation</t>
  </si>
  <si>
    <t>Movements that still need a person to write or check the explanation.</t>
  </si>
  <si>
    <t>Commentary</t>
  </si>
  <si>
    <t>Every reported movement with its amounts, status, explanation and who confirmed it.</t>
  </si>
  <si>
    <t>Evidence and reconciliation</t>
  </si>
  <si>
    <t>Drill-down</t>
  </si>
  <si>
    <t>Every line of the comparison, largest change first, and which movement it is reported in.</t>
  </si>
  <si>
    <t>Data checks</t>
  </si>
  <si>
    <t>Reconciliation: the workbook's formulas must agree with the engine's totals.</t>
  </si>
  <si>
    <t>Data</t>
  </si>
  <si>
    <t>The grouped source amounts every formula adds up.</t>
  </si>
  <si>
    <t>Settings</t>
  </si>
  <si>
    <t>Months, versions and the threshold the formulas use. Change Threshold to test sensitivity.</t>
  </si>
  <si>
    <t>Supporting detail</t>
  </si>
  <si>
    <t>Variance - By country</t>
  </si>
  <si>
    <t>Every line of the 'By country' comparison, as calculated by the engine.</t>
  </si>
  <si>
    <t>Movement detail</t>
  </si>
  <si>
    <t>Each reported movement with its grouping, line count, flags and evidence references.</t>
  </si>
  <si>
    <t>Source lines</t>
  </si>
  <si>
    <t>The source descriptions behind each movement, with their amounts.</t>
  </si>
  <si>
    <t>Classifications</t>
  </si>
  <si>
    <t>How lines were classified, for review.</t>
  </si>
  <si>
    <t>Unmatched lookups</t>
  </si>
  <si>
    <t>Lookup values that did not match the main data.</t>
  </si>
  <si>
    <t>Audit trail</t>
  </si>
  <si>
    <t>Data controls</t>
  </si>
  <si>
    <t>Every data control run before the report, with its details.</t>
  </si>
  <si>
    <t>Setup changes</t>
  </si>
  <si>
    <t>Every change made to the setup before this run, with who made it and why.</t>
  </si>
  <si>
    <t>Explanation log</t>
  </si>
  <si>
    <t>Every explanation saved or confirmed, with who did it and when.</t>
  </si>
  <si>
    <t>Run audit</t>
  </si>
  <si>
    <t>Run fingerprint: engine version, setup fingerprint and the fingerprint of every input file.</t>
  </si>
  <si>
    <t>AI assistant log</t>
  </si>
  <si>
    <t>What the AI assistant was asked and answered while building this report.</t>
  </si>
  <si>
    <t>FluxSpec</t>
  </si>
  <si>
    <t>The full setup used for this run, as JSON. The same file is available as a separate download.</t>
  </si>
  <si>
    <t>About these numbers</t>
  </si>
  <si>
    <t>Formulas over the Data sheet, checked against the engine before saving.</t>
  </si>
  <si>
    <t>Checked commentary</t>
  </si>
  <si>
    <t>Explanations marked Confirmed were checked by a person. Explanations marked 'Explained by AI — please review' are drafts.</t>
  </si>
  <si>
    <t>Amounts are in $.</t>
  </si>
  <si>
    <t>Current text</t>
  </si>
  <si>
    <t>What is needed</t>
  </si>
  <si>
    <t>Supporting descriptions</t>
  </si>
  <si>
    <t>Write the business reason and confirm it.</t>
  </si>
  <si>
    <t>Reported as</t>
  </si>
  <si>
    <t>Check</t>
  </si>
  <si>
    <t>Engine value</t>
  </si>
  <si>
    <t>Workbook value</t>
  </si>
  <si>
    <t>Difference</t>
  </si>
  <si>
    <t>Result</t>
  </si>
  <si>
    <t>Movement lines add up to the total movement</t>
  </si>
  <si>
    <t>Drill-down lines add up to the total movement</t>
  </si>
  <si>
    <t>Data controls run before the report</t>
  </si>
  <si>
    <t>required_columns</t>
  </si>
  <si>
    <t>Passed</t>
  </si>
  <si>
    <t>All required columns are available.</t>
  </si>
  <si>
    <t>periods_present</t>
  </si>
  <si>
    <t>Both comparison slices contain data.</t>
  </si>
  <si>
    <t>no_duplicate_periods_across_files</t>
  </si>
  <si>
    <t>No periods overlap across stacked sources.</t>
  </si>
  <si>
    <t>new_or_removed_members</t>
  </si>
  <si>
    <t>Warning</t>
  </si>
  <si>
    <t>New or removed dimension members were found; see details.</t>
  </si>
  <si>
    <t>join_unmatched_keys</t>
  </si>
  <si>
    <t>All lookup keys matched.</t>
  </si>
  <si>
    <t>join_fanout</t>
  </si>
  <si>
    <t>Lookup joins preserve one row per source row.</t>
  </si>
  <si>
    <t>classification_coverage</t>
  </si>
  <si>
    <t>Classification coverage meets the configured minimum.</t>
  </si>
  <si>
    <t>partial_period_used</t>
  </si>
  <si>
    <t>No detected partial months are selected.</t>
  </si>
  <si>
    <t>drivers_reconcile</t>
  </si>
  <si>
    <t>Drivers and other items reconcile to the movement.</t>
  </si>
  <si>
    <t>flags_sum_to_rows</t>
  </si>
  <si>
    <t>Flag counts reconcile to view rows.</t>
  </si>
  <si>
    <t>sections_reconcile</t>
  </si>
  <si>
    <t>No section split configured.</t>
  </si>
  <si>
    <t>Full details are on the Data controls sheet.</t>
  </si>
  <si>
    <t>Ibx Code</t>
  </si>
  <si>
    <t>Lines</t>
  </si>
  <si>
    <t>Flags</t>
  </si>
  <si>
    <t>Top descriptions</t>
  </si>
  <si>
    <t>Evidence references</t>
  </si>
  <si>
    <t>Movement ID</t>
  </si>
  <si>
    <t>driver:d1</t>
  </si>
  <si>
    <t>d1</t>
  </si>
  <si>
    <t>driver:d2</t>
  </si>
  <si>
    <t>d2</t>
  </si>
  <si>
    <t>driver:d3</t>
  </si>
  <si>
    <t>d3</t>
  </si>
  <si>
    <t>driver:d4</t>
  </si>
  <si>
    <t>d4</t>
  </si>
  <si>
    <t>driver:d5</t>
  </si>
  <si>
    <t>d5</t>
  </si>
  <si>
    <t>driver:others</t>
  </si>
  <si>
    <t>others</t>
  </si>
  <si>
    <t>Description</t>
  </si>
  <si>
    <t>GAO6111_AP_0626_AMER Manual Acc_A5-NoXZSEfGJGSVu_9IVgQ-300000131614726-ACCR-100002823917343 , VERTIV TECNOLOGIA DO BRASIL LTDA|R&amp;M , 8002 , 14429487</t>
  </si>
  <si>
    <t>GAO6111_AP_0626_AMER Manual Acc_A5-NoXZSEfGJGSVu_9IVgQ-300000131614726-ACCR-100002823917343 , VERTIV TECNOLOGIA DO BRASIL LTDA|R&amp;M , 8002 , 14429488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</si>
  <si>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14388964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</si>
  <si>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14388965</t>
  </si>
  <si>
    <t>PO Number: 1110572259 , PO Line Number: 1 ,Supplier Name: CUMMINS VENDAS E SERVICOS DE MOTORES E GERADORES LTDA Invoice Number: 343422-4-20260521-61838884000142 Description: SP3,  CUMMINS quote 274686, dated in 1/26/26 - Purchase material BATERIA 34R REDTOP 12V-50AH-3</t>
  </si>
  <si>
    <t>Remaining transactions</t>
  </si>
  <si>
    <t>GAO5049_KB_0526_OpenPO WW_VHUHT1qnEfGpxZVkiKiA2g-300000131614726-ACCR-100002737255229 , 1590535725-2_ACTEMIUM CEGELEC GMBH_FR2.1-6 2026 Q2 maintenance of fire monitoring and protection system , 8002 , 13579867</t>
  </si>
  <si>
    <t>PO Number: 1590535725 , PO Line Number: 2 ,Supplier Name: ACTEMIUM CEGELEC GMBH Invoice Number: 1870021642 Description: FR2.1-6 2026 Q2 maintenance of fire monitoring and protection system</t>
  </si>
  <si>
    <t>GAO5049_KB_0526_OpenPO WW_VHUHT1qnEfGpxZVkiKiA2g-300000131614726-ACCR-100002737255229 , 1590566063-1_SOCOMEC GMBH_FR2 Impedance measurement Semi Annual Maintenance April , 8002 , 13580399</t>
  </si>
  <si>
    <t>PO Number: 1590566063 , PO Line Number: 1 ,Supplier Name: SOCOMEC GMBH Invoice Number: 800 / 31256535 Description: FR2 Impedance measurement Semi Annual Maintenance April</t>
  </si>
  <si>
    <t>GAO5049_KB_0626_OpenPO WW_5MUniXOlEfGxWZ1NRsFAkA-300000131614726-ACCR-100002808784117 , 1590548361-1_HEINRICH BOLLMANN GMBH_FR2 - 2026 Sachkundigenprfung und Wartung fr Brandschutztren und Feststellanlagen , 8002 , 14329004</t>
  </si>
  <si>
    <t>GAO5049_KB_0626_OpenPO WW_5MUniXOlEfGxWZ1NRsFAkA-300000131614726-ACCR-100002809437203 , 1040590899-1_EBM PAPST INC US CT FARMI IV 456_DC12-EBMPAPST as per quote  EQU060326JAS. K3G560PB3103  480V 560mm centrifugal fan w frame , 8000 , 14344438</t>
  </si>
  <si>
    <t>GAO5049_KB_0626_OpenPO WW_5MUniXOlEfGxWZ1NRsFAkA-300000131614726-ACCR-100002809437203 , 1040590899-1_EBM PAPST INC US CT FARMI IV 456_DC12-EBMPAPST as per quote  EQU060326JAS. K3G560PB3103  480V 560mm centrifugal fan w frame , 8000 , 14344439</t>
  </si>
  <si>
    <t>GAO5049_KB_0726_OpenPO WW_M3Z9-4xYEfGhDpMHE24o3Q-300000131614726-ACCR-100002877409113 , 1040590899-1_EBM PAPST INC US CT FARMI IV 456_DC12-EBMPAPST as per quote  EQU060326JAS. K3G560PB3103  480V 560mm centrifugal fan w frame , 8000 , 15150146</t>
  </si>
  <si>
    <t>GAO5049_KB_0526_OpenPO WW_VHUHT1qnEfGpxZVkiKiA2g-300000131614726-ACCR-100002737453098 , 1040543939-1_EBM PAPST INC US CT FARMI IV 456_DC12: Supply Fan Part #R3G560PC0409 QTY 50 @ $3000 each as per EBM Papst quote # EQU010626JAS , 8000 , 13588212</t>
  </si>
  <si>
    <t>GAO5049_KB_0626_OpenPO WW_5MUniXOlEfGxWZ1NRsFAkA-300000131614726-ACCR-100002809437203 , 1040543939-1_EBM PAPST INC US CT FARMI IV 456_DC12: Supply Fan Part #R3G560PC0409 QTY 50 @ $3000 each as per EBM Papst quote # EQU010626JAS , 8000 , 14343112</t>
  </si>
  <si>
    <t>PO Number: 1040573824 , PO Line Number: 2 ,Supplier Name: CARRIER CORPORATION Invoice Number: 90543992 Description: NY7: Labor per Carrier quote dated 04/06/2026</t>
  </si>
  <si>
    <t>PO Number: 1040566040 , PO Line Number: 2 ,Supplier Name: ORR PROTECTION SYSTEMS INC Invoice Number: IN-0086444 Description: NY7: Q2 2026 - Orr Fire protection to provide annual inspection per proposal dated 1/1/2026. This PR replaces PO 1040458821. Billed Quarterly (Mar, Jun, Sep and Dec)</t>
  </si>
  <si>
    <t>GAO5049_KB_0526_OpenPO WW_VHUHT1qnEfGpxZVkiKiA2g-300000131614726-ACCR-100002737453098 , 1040457223-1_NALCO COMPANY FKA ONDEO NALCO COMPANY_NY7 $41032.14-BPO Chemicals Only - Nalco per Agreement No. 00064991.0 effective date November 30th 2022. Vendor will provide chemicals to treat chilled water system and ensure the sy , 8001 , 13588824</t>
  </si>
  <si>
    <t>GAO5049_KB_0626_OpenPO WW_5MUniXOlEfGxWZ1NRsFAkA-300000131614726-ACCR-100002809437203 , 1040457223-1_NALCO COMPANY FKA ONDEO NALCO COMPANY_NY7 $41032.14-BPO Chemicals Only - Nalco per Agreement No. 00064991.0 effective date November 30th 2022. Vendor will provide chemicals to treat chilled water system and ensure the sy , 8001 , 14352254</t>
  </si>
  <si>
    <t>PO Number: 1400559725 , PO Line Number: 1 ,Supplier Name: EATON ELECTRIC SINGAPORE PTE LTD Invoice Number: 957921169 Description: UPS Model: Eaton 9395P-1200kVA</t>
  </si>
  <si>
    <t>GAO5153_NS_0726_OpePO APACRe_K1IRko2YEfGhDpMHE24o3Q-300000131614726-ACCR-100002883223886 , 1400585681-1_ROCKWELL AUTOMATION SOUTHEAST ASIA PTE LIMITED_SG4 CPOS SCADA Standardization Solution per Quotation 30605123.2 , 8000 , 15172381</t>
  </si>
  <si>
    <t>PO Number: 1400583089 , PO Line Number: 1 ,Supplier Name: LC ENGINEERING SERVICES PTE LTD Invoice Number: 26/J-1333/I-29468 Description: SG4 Level 1/2/3/4/5/7. Supply expertise and equipment to perform Thermal Scanning for the follow LV Equipment: a) GSM LV Switchboard 210 nos b) Data Hall busducts 69 nos c) Base built LV Switchboard 4 nos d) Test Report Endorsement &amp; Report</t>
  </si>
  <si>
    <t>GAO5153_NS_0726_OpePO APACRe_K1IRko2YEfGhDpMHE24o3Q-300000131614726-ACCR-100002883223886 , 1400559720-1_EATON ELECTRIC SINGAPORE PTE LTD_SN1 Non Comprehensive Maintenance w 1 x Shutdown PM (In Hours Rates) Contract Period 12 Months (1 Jan 2026 to 31 Dec 2026)UPS Model :Eaton 9395P 1200kVA , 8002 , 15172499</t>
  </si>
  <si>
    <t>GAO5153_NS_0626_OpePO APACRe_xG9IjHShEfGxWZ1NRsFAkA-300000131614726-ACCR-100002813198521 , 1400559720-1_EATON ELECTRIC SINGAPORE PTE LTD_SN1 Non Comprehensive Maintenance w 1 x Shutdown PM (In Hours Rates) Contract Period 12 Months (1 Jan 2026 to 31 Dec 2026)UPS Model Eaton 9395P 1200kVA , 8002 , 14377026</t>
  </si>
  <si>
    <t>GAO5049_KB_0526_OpenPO WW_VHUHT1qnEfGpxZVkiKiA2g-300000131614726-ACCR-100002737453098 , 1040525989-2_TAMPA ARMATURE WORKS INC DBA INTEGRATED POWER SERVICES_MI6 IPS as per quote 50030589-4 dated 10.30.25 for repairs needed on Generator 1A - SN: H000135346.  Labor. , 8000 , 13588778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</si>
  <si>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14352136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</si>
  <si>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14352137</t>
  </si>
  <si>
    <t>GAO5049_KB_0726_OpenPO WW_M3Z9-4xYEfGhDpMHE24o3Q-300000131614726-ACCR-100002877409113 , 1040525989-2_TAMPA ARMATURE WORKS INC DBA INTEGRATED POWER SERVICES_MI6 IPS as per quote 50030589-4 dated 10.30.25 for repairs needed on Generator 1A - SN: H000135346.  Labor. , 8000 , 15146952</t>
  </si>
  <si>
    <t>No classifications needed review.</t>
  </si>
  <si>
    <t>No lookups were used, or every value matched.</t>
  </si>
  <si>
    <t>Message</t>
  </si>
  <si>
    <t>Details</t>
  </si>
  <si>
    <t>{"missing": []}</t>
  </si>
  <si>
    <t>{"missing": [], "rows": {"base": 28368, "current": 30167}}</t>
  </si>
  <si>
    <t>{"periods": []}</t>
  </si>
  <si>
    <t>{"Ibx_Code": {"new": ["AM12", "AM9", "CHICAGO OFFICE", "CHICAGO OFFICE CHO1", "IL3X ISTANBUL", "LD-A", "PA14", "PORTUGAL CLS - LSA", "SANTIAGO OFFICE"], "removed": ["BL1", "LD10", "TORONTO (TRO) OFFICE", "ZH1"]}}</t>
  </si>
  <si>
    <t>{}</t>
  </si>
  <si>
    <t>{"months": [], "row_counts": {}}</t>
  </si>
  <si>
    <t>When (UTC)</t>
  </si>
  <si>
    <t>Changed by</t>
  </si>
  <si>
    <t>Reason</t>
  </si>
  <si>
    <t>Setting</t>
  </si>
  <si>
    <t>Change type</t>
  </si>
  <si>
    <t>Before</t>
  </si>
  <si>
    <t>After</t>
  </si>
  <si>
    <t>user</t>
  </si>
  <si>
    <t>Updated uploaded source definitions</t>
  </si>
  <si>
    <t>/sources/lookups</t>
  </si>
  <si>
    <t>add</t>
  </si>
  <si>
    <t>/sources/primary</t>
  </si>
  <si>
    <t>{"files": [{"file": "sample_test_run_for_python_scrip_on_fresh_data_AA.xlsx", "sheet": "Detail", "header_row": 1, "start_col": "A", "end_col": null}], "union": {"mode": "stack", "tag_column": null}}</t>
  </si>
  <si>
    <t>preset</t>
  </si>
  <si>
    <t>Loaded saved setup 'Untitled analysis' version 1</t>
  </si>
  <si>
    <t>/comparison/base/months</t>
  </si>
  <si>
    <t>replace</t>
  </si>
  <si>
    <t>[]</t>
  </si>
  <si>
    <t>["2026-06"]</t>
  </si>
  <si>
    <t>/comparison/current/months</t>
  </si>
  <si>
    <t>["2026-07"]</t>
  </si>
  <si>
    <t>/comparison/type</t>
  </si>
  <si>
    <t>QoQ</t>
  </si>
  <si>
    <t>/drill/group_by</t>
  </si>
  <si>
    <t>{roles.driver_text}</t>
  </si>
  <si>
    <t>/drivers/measure</t>
  </si>
  <si>
    <t>amount</t>
  </si>
  <si>
    <t>/drivers/view</t>
  </si>
  <si>
    <t>By country</t>
  </si>
  <si>
    <t>/measures/amount</t>
  </si>
  <si>
    <t>{"agg": "sum", "col": "{roles.value}"}</t>
  </si>
  <si>
    <t>/roles/dimensions</t>
  </si>
  <si>
    <t>["Country", "Region", "Ibx_Code"]</t>
  </si>
  <si>
    <t>/roles/driver_text</t>
  </si>
  <si>
    <t>["FAH_Line_Description"]</t>
  </si>
  <si>
    <t>/roles/period</t>
  </si>
  <si>
    <t>Period_Name</t>
  </si>
  <si>
    <t>/roles/value</t>
  </si>
  <si>
    <t>Functional_Net</t>
  </si>
  <si>
    <t>/views</t>
  </si>
  <si>
    <t>[{"name": "By country", "keys": ["Country", "Region", "Ibx_Code"], "measures": ["amount"], "compare": true}]</t>
  </si>
  <si>
    <t>Changed the Explain step</t>
  </si>
  <si>
    <t>/commentary/style_profile</t>
  </si>
  <si>
    <t>{"audience": "controller", "length": "medium", "structure": {"type": "overall", "split_by": null}, "tone": "neutral", "instructions": "Inspect the descriptions and tell us what the line descriptions are for. E.g what type of maintenance. ", "example_style": {"summary_of_style": "", "sample_phrases": []}, "include": ["to_verify", "one_offs", "timing"], "objective": "", "business_context": ""}</t>
  </si>
  <si>
    <t>No explanations have been saved or confirmed yet.</t>
  </si>
  <si>
    <t>Item</t>
  </si>
  <si>
    <t>Value</t>
  </si>
  <si>
    <t>2026-10-28T14:23:41.711823+00:00</t>
  </si>
  <si>
    <t>Engine version</t>
  </si>
  <si>
    <t>2.0</t>
  </si>
  <si>
    <t>Preset</t>
  </si>
  <si>
    <t>generic_flux v1.0.0</t>
  </si>
  <si>
    <t>Input file (primary)</t>
  </si>
  <si>
    <t>sample_test_run_for_python_scrip_on_fresh_data_AA.xlsx — SHA-256 6304d0f09a8c02d2c3c2cc1dbdfa1df9d6d85a470f495e468f0df99ac8fb8de0</t>
  </si>
  <si>
    <t>The AI assistant was not used for this report.</t>
  </si>
  <si>
    <t>FluxSpec (JSON)</t>
  </si>
  <si>
    <t>{</t>
  </si>
  <si>
    <t xml:space="preserve">  "spec_version": "2.0",</t>
  </si>
  <si>
    <t xml:space="preserve">  "preset": {</t>
  </si>
  <si>
    <t xml:space="preserve">    "id": "generic_flux",</t>
  </si>
  <si>
    <t xml:space="preserve">    "version": "1.0.0"</t>
  </si>
  <si>
    <t xml:space="preserve">  },</t>
  </si>
  <si>
    <t xml:space="preserve">  "flux_name": "Untitled analysis",</t>
  </si>
  <si>
    <t xml:space="preserve">  "sources": {</t>
  </si>
  <si>
    <t xml:space="preserve">    "lookups": {},</t>
  </si>
  <si>
    <t xml:space="preserve">    "primary": {</t>
  </si>
  <si>
    <t xml:space="preserve">      "files": [</t>
  </si>
  <si>
    <t xml:space="preserve">        {</t>
  </si>
  <si>
    <t xml:space="preserve">          "file": "sample_test_run_for_python_scrip_on_fresh_data_AA.xlsx",</t>
  </si>
  <si>
    <t xml:space="preserve">          "sheet": "Detail",</t>
  </si>
  <si>
    <t xml:space="preserve">          "header_row": 1,</t>
  </si>
  <si>
    <t xml:space="preserve">          "start_col": "A",</t>
  </si>
  <si>
    <t xml:space="preserve">          "end_col": null</t>
  </si>
  <si>
    <t xml:space="preserve">        }</t>
  </si>
  <si>
    <t xml:space="preserve">      ],</t>
  </si>
  <si>
    <t xml:space="preserve">      "union": {</t>
  </si>
  <si>
    <t xml:space="preserve">        "mode": "stack",</t>
  </si>
  <si>
    <t xml:space="preserve">        "tag_column": null</t>
  </si>
  <si>
    <t xml:space="preserve">      }</t>
  </si>
  <si>
    <t xml:space="preserve">    }</t>
  </si>
  <si>
    <t xml:space="preserve">  "roles": {</t>
  </si>
  <si>
    <t xml:space="preserve">    "value": "Functional_Net",</t>
  </si>
  <si>
    <t xml:space="preserve">    "period": "Period_Name",</t>
  </si>
  <si>
    <t xml:space="preserve">    "scenario": null,</t>
  </si>
  <si>
    <t xml:space="preserve">    "debit": null,</t>
  </si>
  <si>
    <t xml:space="preserve">    "credit": null,</t>
  </si>
  <si>
    <t xml:space="preserve">    "keys": [],</t>
  </si>
  <si>
    <t xml:space="preserve">    "dimensions": [</t>
  </si>
  <si>
    <t xml:space="preserve">      "Country",</t>
  </si>
  <si>
    <t xml:space="preserve">      "Region",</t>
  </si>
  <si>
    <t xml:space="preserve">      "Ibx_Code"</t>
  </si>
  <si>
    <t xml:space="preserve">    ],</t>
  </si>
  <si>
    <t xml:space="preserve">    "driver_text": [</t>
  </si>
  <si>
    <t xml:space="preserve">      "FAH_Line_Description"</t>
  </si>
  <si>
    <t xml:space="preserve">    ]</t>
  </si>
  <si>
    <t xml:space="preserve">  "value_rules": {</t>
  </si>
  <si>
    <t xml:space="preserve">    "source": "column",</t>
  </si>
  <si>
    <t xml:space="preserve">    "null_as_zero": true,</t>
  </si>
  <si>
    <t xml:space="preserve">    "flip_sign_when": []</t>
  </si>
  <si>
    <t xml:space="preserve">  "scope": [],</t>
  </si>
  <si>
    <t xml:space="preserve">  "derive": [],</t>
  </si>
  <si>
    <t xml:space="preserve">  "periods": {</t>
  </si>
  <si>
    <t xml:space="preserve">    "calendar": "calendar"</t>
  </si>
  <si>
    <t xml:space="preserve">  "period_format": "auto",</t>
  </si>
  <si>
    <t xml:space="preserve">  "partial_periods": [],</t>
  </si>
  <si>
    <t xml:space="preserve">  "comparison": {</t>
  </si>
  <si>
    <t xml:space="preserve">    "type": "period_vs_period",</t>
  </si>
  <si>
    <t xml:space="preserve">    "base": {</t>
  </si>
  <si>
    <t xml:space="preserve">      "months": [</t>
  </si>
  <si>
    <t xml:space="preserve">        "2026-06"</t>
  </si>
  <si>
    <t xml:space="preserve">      ]</t>
  </si>
  <si>
    <t xml:space="preserve">    },</t>
  </si>
  <si>
    <t xml:space="preserve">    "current": {</t>
  </si>
  <si>
    <t xml:space="preserve">        "2026-07"</t>
  </si>
  <si>
    <t xml:space="preserve">  "joins": [],</t>
  </si>
  <si>
    <t xml:space="preserve">  "classification": null,</t>
  </si>
  <si>
    <t xml:space="preserve">  "measures": {</t>
  </si>
  <si>
    <t xml:space="preserve">    "amount": {</t>
  </si>
  <si>
    <t xml:space="preserve">      "agg": "sum",</t>
  </si>
  <si>
    <t xml:space="preserve">      "col": "{roles.value}"</t>
  </si>
  <si>
    <t xml:space="preserve">  "views": [</t>
  </si>
  <si>
    <t xml:space="preserve">    {</t>
  </si>
  <si>
    <t xml:space="preserve">      "name": "By country",</t>
  </si>
  <si>
    <t xml:space="preserve">      "keys": [</t>
  </si>
  <si>
    <t xml:space="preserve">        "Country",</t>
  </si>
  <si>
    <t xml:space="preserve">        "Region",</t>
  </si>
  <si>
    <t xml:space="preserve">        "Ibx_Code"</t>
  </si>
  <si>
    <t xml:space="preserve">      "measures": [</t>
  </si>
  <si>
    <t xml:space="preserve">        "amount"</t>
  </si>
  <si>
    <t xml:space="preserve">      "compare": true</t>
  </si>
  <si>
    <t xml:space="preserve">  ],</t>
  </si>
  <si>
    <t xml:space="preserve">  "flags": [],</t>
  </si>
  <si>
    <t xml:space="preserve">  "gates": [],</t>
  </si>
  <si>
    <t xml:space="preserve">  "sections": null,</t>
  </si>
  <si>
    <t xml:space="preserve">  "decompose": null,</t>
  </si>
  <si>
    <t xml:space="preserve">  "drivers": {</t>
  </si>
  <si>
    <t xml:space="preserve">    "materiality": {</t>
  </si>
  <si>
    <t xml:space="preserve">      "mode": "abs",</t>
  </si>
  <si>
    <t xml:space="preserve">      "abs": 300000</t>
  </si>
  <si>
    <t xml:space="preserve">    "top_n": 15,</t>
  </si>
  <si>
    <t xml:space="preserve">    "others_label": "Other items",</t>
  </si>
  <si>
    <t xml:space="preserve">    "measure": "amount",</t>
  </si>
  <si>
    <t xml:space="preserve">    "view": "By country"</t>
  </si>
  <si>
    <t xml:space="preserve">  "drill": {</t>
  </si>
  <si>
    <t xml:space="preserve">    "top_n": 5,</t>
  </si>
  <si>
    <t xml:space="preserve">    "group_by": "{roles.driver_text}"</t>
  </si>
  <si>
    <t xml:space="preserve">  "commentary": {</t>
  </si>
  <si>
    <t xml:space="preserve">    "units": "M",</t>
  </si>
  <si>
    <t xml:space="preserve">    "decimals": 1,</t>
  </si>
  <si>
    <t xml:space="preserve">    "verify_tag": "[TO VERIFY]",</t>
  </si>
  <si>
    <t xml:space="preserve">    "sign_style": "plus_minus",</t>
  </si>
  <si>
    <t xml:space="preserve">    "currency_symbol": "$",</t>
  </si>
  <si>
    <t xml:space="preserve">    "forbidden_terms": [],</t>
  </si>
  <si>
    <t xml:space="preserve">    "max_line_words": 35,</t>
  </si>
  <si>
    <t xml:space="preserve">    "style_profile": {</t>
  </si>
  <si>
    <t xml:space="preserve">      "audience": "controller",</t>
  </si>
  <si>
    <t xml:space="preserve">      "length": "medium",</t>
  </si>
  <si>
    <t xml:space="preserve">      "structure": {</t>
  </si>
  <si>
    <t xml:space="preserve">        "type": "overall",</t>
  </si>
  <si>
    <t xml:space="preserve">        "split_by": null</t>
  </si>
  <si>
    <t xml:space="preserve">      },</t>
  </si>
  <si>
    <t xml:space="preserve">      "tone": "neutral",</t>
  </si>
  <si>
    <t xml:space="preserve">      "instructions": "Inspect the descriptions and tell us what the line descriptions are for. E.g what type of maintenance. ",</t>
  </si>
  <si>
    <t xml:space="preserve">      "example_style": {</t>
  </si>
  <si>
    <t xml:space="preserve">        "summary_of_style": "",</t>
  </si>
  <si>
    <t xml:space="preserve">        "sample_phrases": []</t>
  </si>
  <si>
    <t xml:space="preserve">      "include": [</t>
  </si>
  <si>
    <t xml:space="preserve">        "to_verify",</t>
  </si>
  <si>
    <t xml:space="preserve">        "one_offs",</t>
  </si>
  <si>
    <t xml:space="preserve">        "timing"</t>
  </si>
  <si>
    <t xml:space="preserve">      "objective": "",</t>
  </si>
  <si>
    <t xml:space="preserve">      "business_context": ""</t>
  </si>
  <si>
    <t xml:space="preserve">  "controls": [</t>
  </si>
  <si>
    <t xml:space="preserve">      "id": "required_columns",</t>
  </si>
  <si>
    <t xml:space="preserve">      "severity": "stop"</t>
  </si>
  <si>
    <t xml:space="preserve">      "id": "periods_present",</t>
  </si>
  <si>
    <t xml:space="preserve">      "id": "no_duplicate_periods_across_files",</t>
  </si>
  <si>
    <t xml:space="preserve">      "id": "new_or_removed_members",</t>
  </si>
  <si>
    <t xml:space="preserve">      "severity": "warn"</t>
  </si>
  <si>
    <t xml:space="preserve">      "id": "drivers_reconcile",</t>
  </si>
  <si>
    <t xml:space="preserve">      "id": "flags_sum_to_rows",</t>
  </si>
  <si>
    <t xml:space="preserve">      "id": "sections_reconcile",</t>
  </si>
  <si>
    <t xml:space="preserve">      "id": "join_unmatched_keys",</t>
  </si>
  <si>
    <t xml:space="preserve">      "id": "join_fanout",</t>
  </si>
  <si>
    <t xml:space="preserve">      "id": "classification_coverage",</t>
  </si>
  <si>
    <t xml:space="preserve">      "severity": "warn",</t>
  </si>
  <si>
    <t xml:space="preserve">      "params": {</t>
  </si>
  <si>
    <t xml:space="preserve">        "minimum_percentage": 95</t>
  </si>
  <si>
    <t xml:space="preserve">      "id": "partial_period_used",</t>
  </si>
  <si>
    <t xml:space="preserve">  "run_stamp": {</t>
  </si>
  <si>
    <t xml:space="preserve">    "run_id": "2d9ad6a79f424c46a40c41620856df90",</t>
  </si>
  <si>
    <t xml:space="preserve">    "created": "2026-10-28T14:23:41.711823+00:00",</t>
  </si>
  <si>
    <t xml:space="preserve">    "engine_version": "2.0",</t>
  </si>
  <si>
    <t xml:space="preserve">    "spec_sha256": "0964d7c5009905b14343263bfc4d4611cc49866d5ca11585bbf44538e7815f90",</t>
  </si>
  <si>
    <t xml:space="preserve">    "preset": {</t>
  </si>
  <si>
    <t xml:space="preserve">      "id": "generic_flux",</t>
  </si>
  <si>
    <t xml:space="preserve">      "version": "1.0.0"</t>
  </si>
  <si>
    <t xml:space="preserve">    "input_files": [</t>
  </si>
  <si>
    <t xml:space="preserve">      {</t>
  </si>
  <si>
    <t xml:space="preserve">        "name": "sample_test_run_for_python_scrip_on_fresh_data_AA.xlsx",</t>
  </si>
  <si>
    <t xml:space="preserve">        "sha256": "6304d0f09a8c02d2c3c2cc1dbdfa1df9d6d85a470f495e468f0df99ac8fb8de0",</t>
  </si>
  <si>
    <t xml:space="preserve">        "role": "primary",</t>
  </si>
  <si>
    <t xml:space="preserve">        "definition": {</t>
  </si>
  <si>
    <t xml:space="preserve">          "end_col": null,</t>
  </si>
  <si>
    <t xml:space="preserve">          "role": "primary",</t>
  </si>
  <si>
    <t xml:space="preserve">          "name": "sample_test_run_for_python_scrip_on_fresh_data_AA",</t>
  </si>
  <si>
    <t xml:space="preserve">          "combine_sheets": [],</t>
  </si>
  <si>
    <t xml:space="preserve">          "tag_column": null</t>
  </si>
  <si>
    <t xml:space="preserve">  }</t>
  </si>
  <si>
    <t>}</t>
  </si>
</sst>
</file>

<file path=xl/styles.xml><?xml version="1.0" encoding="utf-8"?>
<styleSheet xmlns="http://schemas.openxmlformats.org/spreadsheetml/2006/main">
  <numFmts count="5">
    <numFmt numFmtId="164" formatCode="&quot;$&quot;#,##0.00;(&quot;$&quot;#,##0.00);&quot;$&quot;0.00"/>
    <numFmt numFmtId="165" formatCode="0.0%;(0.0%);&quot;–&quot;"/>
    <numFmt numFmtId="166" formatCode="#,##0"/>
    <numFmt numFmtId="167" formatCode="#,##0.00;(#,##0.00);&quot;–&quot;"/>
    <numFmt numFmtId="168" formatCode="yyyy-mm-dd hh:mm"/>
  </numFmts>
  <fonts count="13">
    <font>
      <sz val="11"/>
      <color theme="1"/>
      <name val="Calibri"/>
      <family val="2"/>
      <scheme val="minor"/>
    </font>
    <font>
      <b/>
      <sz val="18"/>
      <color rgb="FF1B2A41"/>
      <name val="Calibri"/>
      <family val="2"/>
      <scheme val="minor"/>
    </font>
    <font>
      <sz val="11"/>
      <color rgb="FF5F6368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4"/>
      <color rgb="FF1B2A41"/>
      <name val="Calibri"/>
      <family val="2"/>
      <scheme val="minor"/>
    </font>
    <font>
      <b/>
      <sz val="12"/>
      <color rgb="FF1B2A41"/>
      <name val="Calibri"/>
      <family val="2"/>
      <scheme val="minor"/>
    </font>
    <font>
      <u/>
      <sz val="10"/>
      <color rgb="FF1F5FAD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C8102E"/>
      <name val="Calibri"/>
      <family val="2"/>
      <scheme val="minor"/>
    </font>
    <font>
      <b/>
      <sz val="10"/>
      <color rgb="FF1B2A41"/>
      <name val="Calibri"/>
      <family val="2"/>
      <scheme val="minor"/>
    </font>
    <font>
      <b/>
      <sz val="10"/>
      <color rgb="FF1E7B34"/>
      <name val="Calibri"/>
      <family val="2"/>
      <scheme val="minor"/>
    </font>
    <font>
      <i/>
      <sz val="10"/>
      <color rgb="FF5F636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0D5DD"/>
      </top>
      <bottom/>
      <diagonal/>
    </border>
    <border>
      <left/>
      <right/>
      <top/>
      <bottom style="medium">
        <color rgb="FF1B2A4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2" xfId="0" applyFont="1" applyBorder="1" applyAlignment="1">
      <alignment vertical="top"/>
    </xf>
    <xf numFmtId="166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quotePrefix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167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168" fontId="7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166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G56"/>
  <sheetViews>
    <sheetView showGridLines="0" tabSelected="1" workbookViewId="0"/>
  </sheetViews>
  <sheetFormatPr defaultRowHeight="15"/>
  <cols>
    <col min="1" max="1" width="34.7109375" customWidth="1"/>
    <col min="2" max="5" width="17.7109375" customWidth="1"/>
    <col min="6" max="6" width="26.7109375" customWidth="1"/>
    <col min="7" max="7" width="70.7109375" customWidth="1"/>
  </cols>
  <sheetData>
    <row r="1" spans="1:7" ht="30" customHeight="1">
      <c r="A1" s="1" t="s">
        <v>2</v>
      </c>
    </row>
    <row r="2" spans="1:7">
      <c r="A2" s="2" t="s">
        <v>446</v>
      </c>
    </row>
    <row r="4" spans="1:7">
      <c r="A4" s="3" t="s">
        <v>447</v>
      </c>
      <c r="B4" s="3" t="s">
        <v>448</v>
      </c>
      <c r="C4" s="3" t="s">
        <v>412</v>
      </c>
      <c r="D4" s="3" t="s">
        <v>449</v>
      </c>
      <c r="E4" s="3" t="s">
        <v>15</v>
      </c>
    </row>
    <row r="5" spans="1:7" ht="21.75" customHeight="1">
      <c r="A5" s="4">
        <f>SUMPRODUCT((ISNUMBER(MATCH(Data!$D$2:$D$666,BaseMonths,0)))*Data!$E$2:$E$666)</f>
        <v>27160793.4</v>
      </c>
      <c r="B5" s="4">
        <f>SUMPRODUCT((ISNUMBER(MATCH(Data!$D$2:$D$666,CurrentMonths,0)))*Data!$E$2:$E$666)</f>
        <v>21173166.47</v>
      </c>
      <c r="C5" s="4">
        <f>B5-A5</f>
        <v>-5987626.93</v>
      </c>
      <c r="D5" s="5">
        <f>IF(A5=0,"",C5/ABS(A5))</f>
        <v>-0.2204511054526117</v>
      </c>
      <c r="E5" s="4">
        <f>Threshold</f>
        <v>300000.0</v>
      </c>
    </row>
    <row r="7" spans="1:7">
      <c r="A7" s="6" t="s">
        <v>450</v>
      </c>
      <c r="B7" s="6"/>
      <c r="C7" s="6"/>
      <c r="D7" s="6"/>
      <c r="E7" s="6"/>
      <c r="F7" s="6"/>
      <c r="G7" s="6"/>
    </row>
    <row r="8" spans="1:7" ht="27.75" customHeight="1">
      <c r="A8" s="3" t="s">
        <v>425</v>
      </c>
      <c r="B8" s="3" t="s">
        <v>451</v>
      </c>
      <c r="C8" s="3" t="s">
        <v>452</v>
      </c>
      <c r="D8" s="3" t="s">
        <v>443</v>
      </c>
    </row>
    <row r="9" spans="1:7">
      <c r="A9" s="7">
        <f>COUNTIF(Commentary!$J$2:$J$7,"Needs explanation")</f>
        <v>5</v>
      </c>
      <c r="B9" s="7">
        <f>COUNTIF(Commentary!$J$2:$J$7,"Explained by AI — please review")</f>
        <v>0</v>
      </c>
      <c r="C9" s="7">
        <f>COUNTIF(Commentary!$J$2:$J$7,"Confirmed")</f>
        <v>0</v>
      </c>
      <c r="D9" s="7">
        <f>COUNTIF(Commentary!$J$2:$J$7,"Below threshold")</f>
        <v>1</v>
      </c>
    </row>
    <row r="10" spans="1:7">
      <c r="A10" s="8" t="s">
        <v>453</v>
      </c>
    </row>
    <row r="12" spans="1:7">
      <c r="A12" s="6" t="s">
        <v>454</v>
      </c>
      <c r="B12" s="6"/>
      <c r="C12" s="6"/>
      <c r="D12" s="6"/>
      <c r="E12" s="6"/>
      <c r="F12" s="6"/>
      <c r="G12" s="6"/>
    </row>
    <row r="13" spans="1:7">
      <c r="A13" s="9" t="s">
        <v>426</v>
      </c>
      <c r="B13" s="10"/>
      <c r="C13" s="10"/>
      <c r="D13" s="10"/>
      <c r="E13" s="10"/>
      <c r="F13" s="10"/>
      <c r="G13" s="10"/>
    </row>
    <row r="15" spans="1:7">
      <c r="A15" s="6" t="s">
        <v>455</v>
      </c>
      <c r="B15" s="6"/>
      <c r="C15" s="6"/>
      <c r="D15" s="6"/>
      <c r="E15" s="6"/>
      <c r="F15" s="6"/>
      <c r="G15" s="6"/>
    </row>
    <row r="16" spans="1:7">
      <c r="A16" s="11" t="s">
        <v>412</v>
      </c>
      <c r="B16" s="11" t="s">
        <v>413</v>
      </c>
      <c r="C16" s="11" t="s">
        <v>414</v>
      </c>
      <c r="D16" s="11" t="s">
        <v>415</v>
      </c>
      <c r="E16" s="11" t="s">
        <v>416</v>
      </c>
      <c r="F16" s="11" t="s">
        <v>418</v>
      </c>
      <c r="G16" s="11" t="s">
        <v>419</v>
      </c>
    </row>
    <row r="17" spans="1:7">
      <c r="A17" s="10" t="s">
        <v>424</v>
      </c>
      <c r="B17" s="12">
        <f>'Commentary'!$E$2</f>
        <v>440441.66</v>
      </c>
      <c r="C17" s="12">
        <f>'Commentary'!$F$2</f>
        <v>-2367.7</v>
      </c>
      <c r="D17" s="12">
        <f>'Commentary'!$G$2</f>
        <v>-442809.36</v>
      </c>
      <c r="E17" s="13">
        <f>IF(B17=0,"",D17/ABS(B17))</f>
        <v>-1.0053757403420922</v>
      </c>
      <c r="F17" s="14" t="s">
        <v>425</v>
      </c>
      <c r="G17" s="9" t="s">
        <v>426</v>
      </c>
    </row>
    <row r="18" spans="1:7">
      <c r="A18" s="10" t="s">
        <v>430</v>
      </c>
      <c r="B18" s="12">
        <f>'Commentary'!$E$3</f>
        <v>1128961.96</v>
      </c>
      <c r="C18" s="12">
        <f>'Commentary'!$F$3</f>
        <v>704639.62</v>
      </c>
      <c r="D18" s="12">
        <f>'Commentary'!$G$3</f>
        <v>-424322.34</v>
      </c>
      <c r="E18" s="13">
        <f>IF(B18=0,"",D18/ABS(B18))</f>
        <v>-0.37585176031971884</v>
      </c>
      <c r="F18" s="14" t="s">
        <v>425</v>
      </c>
      <c r="G18" s="9" t="s">
        <v>431</v>
      </c>
    </row>
    <row r="19" spans="1:7">
      <c r="A19" s="10" t="s">
        <v>433</v>
      </c>
      <c r="B19" s="12">
        <f>'Commentary'!$E$4</f>
        <v>716637.09</v>
      </c>
      <c r="C19" s="12">
        <f>'Commentary'!$F$4</f>
        <v>321587.31</v>
      </c>
      <c r="D19" s="12">
        <f>'Commentary'!$G$4</f>
        <v>-395049.78</v>
      </c>
      <c r="E19" s="13">
        <f>IF(B19=0,"",D19/ABS(B19))</f>
        <v>-0.5512550013284967</v>
      </c>
      <c r="F19" s="14" t="s">
        <v>425</v>
      </c>
      <c r="G19" s="9" t="s">
        <v>434</v>
      </c>
    </row>
    <row r="20" spans="1:7">
      <c r="A20" s="10" t="s">
        <v>436</v>
      </c>
      <c r="B20" s="12">
        <f>'Commentary'!$E$5</f>
        <v>285390.86</v>
      </c>
      <c r="C20" s="12">
        <f>'Commentary'!$F$5</f>
        <v>-88890.38</v>
      </c>
      <c r="D20" s="12">
        <f>'Commentary'!$G$5</f>
        <v>-374281.24</v>
      </c>
      <c r="E20" s="13">
        <f>IF(B20=0,"",D20/ABS(B20))</f>
        <v>-1.3114689096910812</v>
      </c>
      <c r="F20" s="14" t="s">
        <v>425</v>
      </c>
      <c r="G20" s="9" t="s">
        <v>437</v>
      </c>
    </row>
    <row r="21" spans="1:7">
      <c r="A21" s="10" t="s">
        <v>439</v>
      </c>
      <c r="B21" s="12">
        <f>'Commentary'!$E$6</f>
        <v>144966.12</v>
      </c>
      <c r="C21" s="12">
        <f>'Commentary'!$F$6</f>
        <v>448730.36</v>
      </c>
      <c r="D21" s="12">
        <f>'Commentary'!$G$6</f>
        <v>303764.24</v>
      </c>
      <c r="E21" s="13">
        <f>IF(B21=0,"",D21/ABS(B21))</f>
        <v>2.095415397749488</v>
      </c>
      <c r="F21" s="14" t="s">
        <v>425</v>
      </c>
      <c r="G21" s="9" t="s">
        <v>440</v>
      </c>
    </row>
    <row r="22" spans="1:7">
      <c r="A22" s="10" t="s">
        <v>18</v>
      </c>
      <c r="B22" s="12">
        <f>'Commentary'!$E$7</f>
        <v>24444395.71</v>
      </c>
      <c r="C22" s="12">
        <f>'Commentary'!$F$7</f>
        <v>19789467.26</v>
      </c>
      <c r="D22" s="12">
        <f>'Commentary'!$G$7</f>
        <v>-4654928.45</v>
      </c>
      <c r="E22" s="13">
        <f>IF(B22=0,"",D22/ABS(B22))</f>
        <v>-0.19042927079173846</v>
      </c>
      <c r="F22" s="10" t="s">
        <v>443</v>
      </c>
      <c r="G22" s="9" t="s">
        <v>444</v>
      </c>
    </row>
    <row r="24" spans="1:7">
      <c r="A24" s="6" t="s">
        <v>456</v>
      </c>
      <c r="B24" s="6"/>
      <c r="C24" s="6"/>
      <c r="D24" s="6"/>
      <c r="E24" s="6"/>
      <c r="F24" s="6"/>
      <c r="G24" s="6"/>
    </row>
    <row r="25" spans="1:7">
      <c r="A25" s="15" t="s">
        <v>457</v>
      </c>
    </row>
    <row r="26" spans="1:7">
      <c r="A26" s="8" t="s">
        <v>458</v>
      </c>
      <c r="B26" s="10" t="s">
        <v>459</v>
      </c>
      <c r="C26" s="10"/>
      <c r="D26" s="10"/>
      <c r="E26" s="10"/>
      <c r="F26" s="10"/>
      <c r="G26" s="10"/>
    </row>
    <row r="27" spans="1:7">
      <c r="A27" s="8" t="s">
        <v>460</v>
      </c>
      <c r="B27" s="10" t="s">
        <v>461</v>
      </c>
      <c r="C27" s="10"/>
      <c r="D27" s="10"/>
      <c r="E27" s="10"/>
      <c r="F27" s="10"/>
      <c r="G27" s="10"/>
    </row>
    <row r="28" spans="1:7">
      <c r="A28" s="8" t="s">
        <v>462</v>
      </c>
      <c r="B28" s="10" t="s">
        <v>463</v>
      </c>
      <c r="C28" s="10"/>
      <c r="D28" s="10"/>
      <c r="E28" s="10"/>
      <c r="F28" s="10"/>
      <c r="G28" s="10"/>
    </row>
    <row r="30" spans="1:7">
      <c r="A30" s="15" t="s">
        <v>464</v>
      </c>
    </row>
    <row r="31" spans="1:7">
      <c r="A31" s="8" t="s">
        <v>465</v>
      </c>
      <c r="B31" s="10" t="s">
        <v>466</v>
      </c>
      <c r="C31" s="10"/>
      <c r="D31" s="10"/>
      <c r="E31" s="10"/>
      <c r="F31" s="10"/>
      <c r="G31" s="10"/>
    </row>
    <row r="32" spans="1:7">
      <c r="A32" s="8" t="s">
        <v>467</v>
      </c>
      <c r="B32" s="10" t="s">
        <v>468</v>
      </c>
      <c r="C32" s="10"/>
      <c r="D32" s="10"/>
      <c r="E32" s="10"/>
      <c r="F32" s="10"/>
      <c r="G32" s="10"/>
    </row>
    <row r="33" spans="1:7">
      <c r="A33" s="8" t="s">
        <v>469</v>
      </c>
      <c r="B33" s="10" t="s">
        <v>470</v>
      </c>
      <c r="C33" s="10"/>
      <c r="D33" s="10"/>
      <c r="E33" s="10"/>
      <c r="F33" s="10"/>
      <c r="G33" s="10"/>
    </row>
    <row r="34" spans="1:7">
      <c r="A34" s="8" t="s">
        <v>471</v>
      </c>
      <c r="B34" s="10" t="s">
        <v>472</v>
      </c>
      <c r="C34" s="10"/>
      <c r="D34" s="10"/>
      <c r="E34" s="10"/>
      <c r="F34" s="10"/>
      <c r="G34" s="10"/>
    </row>
    <row r="36" spans="1:7">
      <c r="A36" s="15" t="s">
        <v>473</v>
      </c>
    </row>
    <row r="37" spans="1:7">
      <c r="A37" s="8" t="s">
        <v>474</v>
      </c>
      <c r="B37" s="10" t="s">
        <v>475</v>
      </c>
      <c r="C37" s="10"/>
      <c r="D37" s="10"/>
      <c r="E37" s="10"/>
      <c r="F37" s="10"/>
      <c r="G37" s="10"/>
    </row>
    <row r="38" spans="1:7">
      <c r="A38" s="8" t="s">
        <v>476</v>
      </c>
      <c r="B38" s="10" t="s">
        <v>477</v>
      </c>
      <c r="C38" s="10"/>
      <c r="D38" s="10"/>
      <c r="E38" s="10"/>
      <c r="F38" s="10"/>
      <c r="G38" s="10"/>
    </row>
    <row r="39" spans="1:7">
      <c r="A39" s="8" t="s">
        <v>478</v>
      </c>
      <c r="B39" s="10" t="s">
        <v>479</v>
      </c>
      <c r="C39" s="10"/>
      <c r="D39" s="10"/>
      <c r="E39" s="10"/>
      <c r="F39" s="10"/>
      <c r="G39" s="10"/>
    </row>
    <row r="40" spans="1:7">
      <c r="A40" s="8" t="s">
        <v>480</v>
      </c>
      <c r="B40" s="10" t="s">
        <v>481</v>
      </c>
      <c r="C40" s="10"/>
      <c r="D40" s="10"/>
      <c r="E40" s="10"/>
      <c r="F40" s="10"/>
      <c r="G40" s="10"/>
    </row>
    <row r="41" spans="1:7">
      <c r="A41" s="8" t="s">
        <v>482</v>
      </c>
      <c r="B41" s="10" t="s">
        <v>483</v>
      </c>
      <c r="C41" s="10"/>
      <c r="D41" s="10"/>
      <c r="E41" s="10"/>
      <c r="F41" s="10"/>
      <c r="G41" s="10"/>
    </row>
    <row r="43" spans="1:7">
      <c r="A43" s="15" t="s">
        <v>484</v>
      </c>
    </row>
    <row r="44" spans="1:7">
      <c r="A44" s="8" t="s">
        <v>485</v>
      </c>
      <c r="B44" s="10" t="s">
        <v>486</v>
      </c>
      <c r="C44" s="10"/>
      <c r="D44" s="10"/>
      <c r="E44" s="10"/>
      <c r="F44" s="10"/>
      <c r="G44" s="10"/>
    </row>
    <row r="45" spans="1:7">
      <c r="A45" s="8" t="s">
        <v>487</v>
      </c>
      <c r="B45" s="10" t="s">
        <v>488</v>
      </c>
      <c r="C45" s="10"/>
      <c r="D45" s="10"/>
      <c r="E45" s="10"/>
      <c r="F45" s="10"/>
      <c r="G45" s="10"/>
    </row>
    <row r="46" spans="1:7">
      <c r="A46" s="8" t="s">
        <v>489</v>
      </c>
      <c r="B46" s="10" t="s">
        <v>490</v>
      </c>
      <c r="C46" s="10"/>
      <c r="D46" s="10"/>
      <c r="E46" s="10"/>
      <c r="F46" s="10"/>
      <c r="G46" s="10"/>
    </row>
    <row r="47" spans="1:7">
      <c r="A47" s="8" t="s">
        <v>491</v>
      </c>
      <c r="B47" s="10" t="s">
        <v>492</v>
      </c>
      <c r="C47" s="10"/>
      <c r="D47" s="10"/>
      <c r="E47" s="10"/>
      <c r="F47" s="10"/>
      <c r="G47" s="10"/>
    </row>
    <row r="48" spans="1:7">
      <c r="A48" s="8" t="s">
        <v>493</v>
      </c>
      <c r="B48" s="10" t="s">
        <v>494</v>
      </c>
      <c r="C48" s="10"/>
      <c r="D48" s="10"/>
      <c r="E48" s="10"/>
      <c r="F48" s="10"/>
      <c r="G48" s="10"/>
    </row>
    <row r="49" spans="1:7">
      <c r="A49" s="8" t="s">
        <v>495</v>
      </c>
      <c r="B49" s="10" t="s">
        <v>496</v>
      </c>
      <c r="C49" s="10"/>
      <c r="D49" s="10"/>
      <c r="E49" s="10"/>
      <c r="F49" s="10"/>
      <c r="G49" s="10"/>
    </row>
    <row r="51" spans="1:7">
      <c r="A51" s="6" t="s">
        <v>497</v>
      </c>
      <c r="B51" s="6"/>
      <c r="C51" s="6"/>
      <c r="D51" s="6"/>
      <c r="E51" s="6"/>
      <c r="F51" s="6"/>
      <c r="G51" s="6"/>
    </row>
    <row r="52" spans="1:7">
      <c r="A52" s="15" t="s">
        <v>21</v>
      </c>
      <c r="B52" s="10" t="s">
        <v>498</v>
      </c>
      <c r="C52" s="10"/>
      <c r="D52" s="10"/>
      <c r="E52" s="10"/>
      <c r="F52" s="10"/>
      <c r="G52" s="10"/>
    </row>
    <row r="53" spans="1:7">
      <c r="A53" s="15" t="s">
        <v>499</v>
      </c>
      <c r="B53" s="10" t="s">
        <v>500</v>
      </c>
      <c r="C53" s="10"/>
      <c r="D53" s="10"/>
      <c r="E53" s="10"/>
      <c r="F53" s="10"/>
      <c r="G53" s="10"/>
    </row>
    <row r="54" spans="1:7">
      <c r="A54" s="15" t="s">
        <v>19</v>
      </c>
      <c r="B54" s="10" t="s">
        <v>501</v>
      </c>
      <c r="C54" s="10"/>
      <c r="D54" s="10"/>
      <c r="E54" s="10"/>
      <c r="F54" s="10"/>
      <c r="G54" s="10"/>
    </row>
    <row r="55" spans="1:7">
      <c r="A55" s="15" t="s">
        <v>3</v>
      </c>
      <c r="B55" s="10" t="s">
        <v>4</v>
      </c>
      <c r="C55" s="10"/>
      <c r="D55" s="10"/>
      <c r="E55" s="10"/>
      <c r="F55" s="10"/>
      <c r="G55" s="10"/>
    </row>
    <row r="56" spans="1:7">
      <c r="A56" s="15" t="s">
        <v>25</v>
      </c>
      <c r="B56" s="10" t="s">
        <v>26</v>
      </c>
      <c r="C56" s="10"/>
      <c r="D56" s="10"/>
      <c r="E56" s="10"/>
      <c r="F56" s="10"/>
      <c r="G56" s="10"/>
    </row>
  </sheetData>
  <mergeCells count="29">
    <mergeCell ref="A7:G7"/>
    <mergeCell ref="A12:G12"/>
    <mergeCell ref="A13:G13"/>
    <mergeCell ref="A15:G15"/>
    <mergeCell ref="A24:G24"/>
    <mergeCell ref="B26:G26"/>
    <mergeCell ref="B27:G27"/>
    <mergeCell ref="B28:G28"/>
    <mergeCell ref="B31:G31"/>
    <mergeCell ref="B32:G32"/>
    <mergeCell ref="B33:G33"/>
    <mergeCell ref="B34:G34"/>
    <mergeCell ref="B37:G37"/>
    <mergeCell ref="B38:G38"/>
    <mergeCell ref="B39:G39"/>
    <mergeCell ref="B40:G40"/>
    <mergeCell ref="B41:G41"/>
    <mergeCell ref="B44:G44"/>
    <mergeCell ref="B45:G45"/>
    <mergeCell ref="B46:G46"/>
    <mergeCell ref="B47:G47"/>
    <mergeCell ref="B48:G48"/>
    <mergeCell ref="B49:G49"/>
    <mergeCell ref="A51:G51"/>
    <mergeCell ref="B52:G52"/>
    <mergeCell ref="B53:G53"/>
    <mergeCell ref="B54:G54"/>
    <mergeCell ref="B55:G55"/>
    <mergeCell ref="B56:G56"/>
  </mergeCells>
  <hyperlinks>
    <hyperlink ref="A10" location="'Needs Explanation'!A1" display="5 movements still need a person to write or check the explanation — open Needs Explanation"/>
    <hyperlink ref="A26" location="'Summary'!A1" display="Summary"/>
    <hyperlink ref="A27" location="'Needs Explanation'!A1" display="Needs Explanation"/>
    <hyperlink ref="A28" location="'Commentary'!A1" display="Commentary"/>
    <hyperlink ref="A31" location="'Drill-down'!A1" display="Drill-down"/>
    <hyperlink ref="A32" location="'Data checks'!A1" display="Data checks"/>
    <hyperlink ref="A33" location="'Data'!A1" display="Data"/>
    <hyperlink ref="A34" location="'Settings'!A1" display="Settings"/>
    <hyperlink ref="A37" location="'Variance - By country'!A1" display="Variance - By country"/>
    <hyperlink ref="A38" location="'Movement detail'!A1" display="Movement detail"/>
    <hyperlink ref="A39" location="'Source lines'!A1" display="Source lines"/>
    <hyperlink ref="A40" location="'Classifications'!A1" display="Classifications"/>
    <hyperlink ref="A41" location="'Unmatched lookups'!A1" display="Unmatched lookups"/>
    <hyperlink ref="A44" location="'Data controls'!A1" display="Data controls"/>
    <hyperlink ref="A45" location="'Setup changes'!A1" display="Setup changes"/>
    <hyperlink ref="A46" location="'Explanation log'!A1" display="Explanation log"/>
    <hyperlink ref="A47" location="'Run audit'!A1" display="Run audit"/>
    <hyperlink ref="A48" location="'AI assistant log'!A1" display="AI assistant log"/>
    <hyperlink ref="A49" location="'FluxSpec'!A1" display="FluxSpec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H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6.7109375" customWidth="1"/>
    <col min="5" max="5" width="24.7109375" customWidth="1"/>
    <col min="6" max="6" width="60.7109375" customWidth="1"/>
    <col min="7" max="7" width="40.7109375" customWidth="1"/>
    <col min="8" max="8" width="60.7109375" customWidth="1"/>
  </cols>
  <sheetData>
    <row r="1" spans="1:8">
      <c r="A1" s="11" t="s">
        <v>412</v>
      </c>
      <c r="B1" s="11" t="s">
        <v>415</v>
      </c>
      <c r="C1" s="11" t="s">
        <v>413</v>
      </c>
      <c r="D1" s="11" t="s">
        <v>414</v>
      </c>
      <c r="E1" s="11" t="s">
        <v>418</v>
      </c>
      <c r="F1" s="11" t="s">
        <v>502</v>
      </c>
      <c r="G1" s="11" t="s">
        <v>503</v>
      </c>
      <c r="H1" s="11" t="s">
        <v>504</v>
      </c>
    </row>
    <row r="2" spans="1:8">
      <c r="A2" s="10" t="s">
        <v>424</v>
      </c>
      <c r="B2" s="12">
        <f>'Commentary'!$G$2</f>
        <v>-442809.36</v>
      </c>
      <c r="C2" s="12">
        <f>'Commentary'!$E$2</f>
        <v>440441.66</v>
      </c>
      <c r="D2" s="12">
        <f>'Commentary'!$F$2</f>
        <v>-2367.7</v>
      </c>
      <c r="E2" s="14" t="s">
        <v>425</v>
      </c>
      <c r="F2" s="9" t="s">
        <v>426</v>
      </c>
      <c r="G2" s="10" t="s">
        <v>505</v>
      </c>
      <c r="H2" s="10" t="s">
        <v>429</v>
      </c>
    </row>
    <row r="3" spans="1:8">
      <c r="A3" s="10" t="s">
        <v>430</v>
      </c>
      <c r="B3" s="12">
        <f>'Commentary'!$G$3</f>
        <v>-424322.34</v>
      </c>
      <c r="C3" s="12">
        <f>'Commentary'!$E$3</f>
        <v>1128961.96</v>
      </c>
      <c r="D3" s="12">
        <f>'Commentary'!$F$3</f>
        <v>704639.62</v>
      </c>
      <c r="E3" s="14" t="s">
        <v>425</v>
      </c>
      <c r="F3" s="9" t="s">
        <v>431</v>
      </c>
      <c r="G3" s="10" t="s">
        <v>505</v>
      </c>
      <c r="H3" s="10" t="s">
        <v>432</v>
      </c>
    </row>
    <row r="4" spans="1:8">
      <c r="A4" s="10" t="s">
        <v>433</v>
      </c>
      <c r="B4" s="12">
        <f>'Commentary'!$G$4</f>
        <v>-395049.78</v>
      </c>
      <c r="C4" s="12">
        <f>'Commentary'!$E$4</f>
        <v>716637.09</v>
      </c>
      <c r="D4" s="12">
        <f>'Commentary'!$F$4</f>
        <v>321587.31</v>
      </c>
      <c r="E4" s="14" t="s">
        <v>425</v>
      </c>
      <c r="F4" s="9" t="s">
        <v>434</v>
      </c>
      <c r="G4" s="10" t="s">
        <v>505</v>
      </c>
      <c r="H4" s="10" t="s">
        <v>435</v>
      </c>
    </row>
    <row r="5" spans="1:8">
      <c r="A5" s="10" t="s">
        <v>436</v>
      </c>
      <c r="B5" s="12">
        <f>'Commentary'!$G$5</f>
        <v>-374281.24</v>
      </c>
      <c r="C5" s="12">
        <f>'Commentary'!$E$5</f>
        <v>285390.86</v>
      </c>
      <c r="D5" s="12">
        <f>'Commentary'!$F$5</f>
        <v>-88890.38</v>
      </c>
      <c r="E5" s="14" t="s">
        <v>425</v>
      </c>
      <c r="F5" s="9" t="s">
        <v>437</v>
      </c>
      <c r="G5" s="10" t="s">
        <v>505</v>
      </c>
      <c r="H5" s="10" t="s">
        <v>438</v>
      </c>
    </row>
    <row r="6" spans="1:8">
      <c r="A6" s="10" t="s">
        <v>439</v>
      </c>
      <c r="B6" s="12">
        <f>'Commentary'!$G$6</f>
        <v>303764.24</v>
      </c>
      <c r="C6" s="12">
        <f>'Commentary'!$E$6</f>
        <v>144966.12</v>
      </c>
      <c r="D6" s="12">
        <f>'Commentary'!$F$6</f>
        <v>448730.36</v>
      </c>
      <c r="E6" s="14" t="s">
        <v>425</v>
      </c>
      <c r="F6" s="9" t="s">
        <v>440</v>
      </c>
      <c r="G6" s="10" t="s">
        <v>505</v>
      </c>
      <c r="H6" s="10" t="s">
        <v>441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8.7109375" customWidth="1"/>
    <col min="5" max="7" width="16.7109375" customWidth="1"/>
    <col min="8" max="8" width="11.7109375" customWidth="1"/>
    <col min="9" max="9" width="14.7109375" customWidth="1"/>
    <col min="10" max="10" width="24.7109375" customWidth="1"/>
    <col min="11" max="11" width="70.7109375" customWidth="1"/>
    <col min="12" max="12" width="12.7109375" customWidth="1"/>
    <col min="13" max="13" width="18.7109375" customWidth="1"/>
    <col min="14" max="14" width="17.7109375" customWidth="1"/>
    <col min="15" max="15" width="50.7109375" customWidth="1"/>
  </cols>
  <sheetData>
    <row r="1" spans="1:15">
      <c r="A1" s="11" t="s">
        <v>412</v>
      </c>
      <c r="B1" s="11" t="s">
        <v>28</v>
      </c>
      <c r="C1" s="11" t="s">
        <v>29</v>
      </c>
      <c r="D1" s="11" t="s">
        <v>30</v>
      </c>
      <c r="E1" s="11" t="s">
        <v>413</v>
      </c>
      <c r="F1" s="11" t="s">
        <v>414</v>
      </c>
      <c r="G1" s="11" t="s">
        <v>415</v>
      </c>
      <c r="H1" s="11" t="s">
        <v>416</v>
      </c>
      <c r="I1" s="11" t="s">
        <v>417</v>
      </c>
      <c r="J1" s="11" t="s">
        <v>418</v>
      </c>
      <c r="K1" s="11" t="s">
        <v>419</v>
      </c>
      <c r="L1" s="11" t="s">
        <v>420</v>
      </c>
      <c r="M1" s="11" t="s">
        <v>421</v>
      </c>
      <c r="N1" s="11" t="s">
        <v>422</v>
      </c>
      <c r="O1" s="11" t="s">
        <v>423</v>
      </c>
    </row>
    <row r="2" spans="1:15">
      <c r="A2" s="10" t="s">
        <v>424</v>
      </c>
      <c r="B2" s="10" t="s">
        <v>54</v>
      </c>
      <c r="C2" s="10" t="s">
        <v>55</v>
      </c>
      <c r="D2" s="10" t="s">
        <v>63</v>
      </c>
      <c r="E2" s="12">
        <f>SUMPRODUCT((Data!$A$2:$A$666=$B2)*(Data!$B$2:$B$666=$C2)*(Data!$C$2:$C$666=$D2)*(ISNUMBER(MATCH(Data!$D$2:$D$666,BaseMonths,0)))*Data!$E$2:$E$666)</f>
        <v>440441.66</v>
      </c>
      <c r="F2" s="12">
        <f>SUMPRODUCT((Data!$A$2:$A$666=$B2)*(Data!$B$2:$B$666=$C2)*(Data!$C$2:$C$666=$D2)*(ISNUMBER(MATCH(Data!$D$2:$D$666,CurrentMonths,0)))*Data!$E$2:$E$666)</f>
        <v>-2367.7</v>
      </c>
      <c r="G2" s="12">
        <f>F2-E2</f>
        <v>-442809.36</v>
      </c>
      <c r="H2" s="13">
        <f>IF(E2=0,"",G2/ABS(E2))</f>
        <v>-1.0053757403420922</v>
      </c>
      <c r="I2" s="10" t="str">
        <f>IF(ABS(G2)&gt;=Threshold,"Yes","No")</f>
        <v>Yes</v>
      </c>
      <c r="J2" s="14" t="s">
        <v>425</v>
      </c>
      <c r="K2" s="9" t="s">
        <v>426</v>
      </c>
      <c r="L2" s="10" t="s">
        <v>427</v>
      </c>
      <c r="M2" s="10" t="s">
        <v>428</v>
      </c>
      <c r="N2" s="16"/>
      <c r="O2" s="10" t="s">
        <v>429</v>
      </c>
    </row>
    <row r="3" spans="1:15">
      <c r="A3" s="10" t="s">
        <v>430</v>
      </c>
      <c r="B3" s="10" t="s">
        <v>123</v>
      </c>
      <c r="C3" s="10" t="s">
        <v>67</v>
      </c>
      <c r="D3" s="10" t="s">
        <v>128</v>
      </c>
      <c r="E3" s="12">
        <f>SUMPRODUCT((Data!$A$2:$A$666=$B3)*(Data!$B$2:$B$666=$C3)*(Data!$C$2:$C$666=$D3)*(ISNUMBER(MATCH(Data!$D$2:$D$666,BaseMonths,0)))*Data!$E$2:$E$666)</f>
        <v>1128961.96</v>
      </c>
      <c r="F3" s="12">
        <f>SUMPRODUCT((Data!$A$2:$A$666=$B3)*(Data!$B$2:$B$666=$C3)*(Data!$C$2:$C$666=$D3)*(ISNUMBER(MATCH(Data!$D$2:$D$666,CurrentMonths,0)))*Data!$E$2:$E$666)</f>
        <v>704639.62</v>
      </c>
      <c r="G3" s="12">
        <f>F3-E3</f>
        <v>-424322.34</v>
      </c>
      <c r="H3" s="13">
        <f>IF(E3=0,"",G3/ABS(E3))</f>
        <v>-0.37585176031971884</v>
      </c>
      <c r="I3" s="10" t="str">
        <f>IF(ABS(G3)&gt;=Threshold,"Yes","No")</f>
        <v>Yes</v>
      </c>
      <c r="J3" s="14" t="s">
        <v>425</v>
      </c>
      <c r="K3" s="9" t="s">
        <v>431</v>
      </c>
      <c r="L3" s="10" t="s">
        <v>427</v>
      </c>
      <c r="M3" s="10" t="s">
        <v>428</v>
      </c>
      <c r="N3" s="16"/>
      <c r="O3" s="10" t="s">
        <v>432</v>
      </c>
    </row>
    <row r="4" spans="1:15">
      <c r="A4" s="10" t="s">
        <v>433</v>
      </c>
      <c r="B4" s="10" t="s">
        <v>322</v>
      </c>
      <c r="C4" s="10" t="s">
        <v>55</v>
      </c>
      <c r="D4" s="10" t="s">
        <v>353</v>
      </c>
      <c r="E4" s="12">
        <f>SUMPRODUCT((Data!$A$2:$A$666=$B4)*(Data!$B$2:$B$666=$C4)*(Data!$C$2:$C$666=$D4)*(ISNUMBER(MATCH(Data!$D$2:$D$666,BaseMonths,0)))*Data!$E$2:$E$666)</f>
        <v>716637.09</v>
      </c>
      <c r="F4" s="12">
        <f>SUMPRODUCT((Data!$A$2:$A$666=$B4)*(Data!$B$2:$B$666=$C4)*(Data!$C$2:$C$666=$D4)*(ISNUMBER(MATCH(Data!$D$2:$D$666,CurrentMonths,0)))*Data!$E$2:$E$666)</f>
        <v>321587.31</v>
      </c>
      <c r="G4" s="12">
        <f>F4-E4</f>
        <v>-395049.78</v>
      </c>
      <c r="H4" s="13">
        <f>IF(E4=0,"",G4/ABS(E4))</f>
        <v>-0.5512550013284967</v>
      </c>
      <c r="I4" s="10" t="str">
        <f>IF(ABS(G4)&gt;=Threshold,"Yes","No")</f>
        <v>Yes</v>
      </c>
      <c r="J4" s="14" t="s">
        <v>425</v>
      </c>
      <c r="K4" s="9" t="s">
        <v>434</v>
      </c>
      <c r="L4" s="10" t="s">
        <v>427</v>
      </c>
      <c r="M4" s="10" t="s">
        <v>428</v>
      </c>
      <c r="N4" s="16"/>
      <c r="O4" s="10" t="s">
        <v>435</v>
      </c>
    </row>
    <row r="5" spans="1:15">
      <c r="A5" s="10" t="s">
        <v>436</v>
      </c>
      <c r="B5" s="10" t="s">
        <v>322</v>
      </c>
      <c r="C5" s="10" t="s">
        <v>55</v>
      </c>
      <c r="D5" s="10" t="s">
        <v>390</v>
      </c>
      <c r="E5" s="12">
        <f>SUMPRODUCT((Data!$A$2:$A$666=$B5)*(Data!$B$2:$B$666=$C5)*(Data!$C$2:$C$666=$D5)*(ISNUMBER(MATCH(Data!$D$2:$D$666,BaseMonths,0)))*Data!$E$2:$E$666)</f>
        <v>285390.86</v>
      </c>
      <c r="F5" s="12">
        <f>SUMPRODUCT((Data!$A$2:$A$666=$B5)*(Data!$B$2:$B$666=$C5)*(Data!$C$2:$C$666=$D5)*(ISNUMBER(MATCH(Data!$D$2:$D$666,CurrentMonths,0)))*Data!$E$2:$E$666)</f>
        <v>-88890.38</v>
      </c>
      <c r="G5" s="12">
        <f>F5-E5</f>
        <v>-374281.24</v>
      </c>
      <c r="H5" s="13">
        <f>IF(E5=0,"",G5/ABS(E5))</f>
        <v>-1.3114689096910812</v>
      </c>
      <c r="I5" s="10" t="str">
        <f>IF(ABS(G5)&gt;=Threshold,"Yes","No")</f>
        <v>Yes</v>
      </c>
      <c r="J5" s="14" t="s">
        <v>425</v>
      </c>
      <c r="K5" s="9" t="s">
        <v>437</v>
      </c>
      <c r="L5" s="10" t="s">
        <v>427</v>
      </c>
      <c r="M5" s="10" t="s">
        <v>428</v>
      </c>
      <c r="N5" s="16"/>
      <c r="O5" s="10" t="s">
        <v>438</v>
      </c>
    </row>
    <row r="6" spans="1:15">
      <c r="A6" s="10" t="s">
        <v>439</v>
      </c>
      <c r="B6" s="10" t="s">
        <v>266</v>
      </c>
      <c r="C6" s="10" t="s">
        <v>34</v>
      </c>
      <c r="D6" s="10" t="s">
        <v>270</v>
      </c>
      <c r="E6" s="12">
        <f>SUMPRODUCT((Data!$A$2:$A$666=$B6)*(Data!$B$2:$B$666=$C6)*(Data!$C$2:$C$666=$D6)*(ISNUMBER(MATCH(Data!$D$2:$D$666,BaseMonths,0)))*Data!$E$2:$E$666)</f>
        <v>144966.12</v>
      </c>
      <c r="F6" s="12">
        <f>SUMPRODUCT((Data!$A$2:$A$666=$B6)*(Data!$B$2:$B$666=$C6)*(Data!$C$2:$C$666=$D6)*(ISNUMBER(MATCH(Data!$D$2:$D$666,CurrentMonths,0)))*Data!$E$2:$E$666)</f>
        <v>448730.36</v>
      </c>
      <c r="G6" s="12">
        <f>F6-E6</f>
        <v>303764.24</v>
      </c>
      <c r="H6" s="13">
        <f>IF(E6=0,"",G6/ABS(E6))</f>
        <v>2.095415397749488</v>
      </c>
      <c r="I6" s="10" t="str">
        <f>IF(ABS(G6)&gt;=Threshold,"Yes","No")</f>
        <v>Yes</v>
      </c>
      <c r="J6" s="14" t="s">
        <v>425</v>
      </c>
      <c r="K6" s="9" t="s">
        <v>440</v>
      </c>
      <c r="L6" s="10" t="s">
        <v>427</v>
      </c>
      <c r="M6" s="10" t="s">
        <v>428</v>
      </c>
      <c r="N6" s="16"/>
      <c r="O6" s="10" t="s">
        <v>441</v>
      </c>
    </row>
    <row r="7" spans="1:15">
      <c r="A7" s="10" t="s">
        <v>18</v>
      </c>
      <c r="B7" s="10" t="s">
        <v>428</v>
      </c>
      <c r="C7" s="10" t="s">
        <v>428</v>
      </c>
      <c r="D7" s="10" t="s">
        <v>428</v>
      </c>
      <c r="E7" s="12">
        <f>TotalBase-SUM(E2:E6)</f>
        <v>24444395.71</v>
      </c>
      <c r="F7" s="12">
        <f>TotalCurrent-SUM(F2:F6)</f>
        <v>19789467.26</v>
      </c>
      <c r="G7" s="12">
        <f>F7-E7</f>
        <v>-4654928.45</v>
      </c>
      <c r="H7" s="13">
        <f>IF(E7=0,"",G7/ABS(E7))</f>
        <v>-0.19042927079173846</v>
      </c>
      <c r="I7" s="10" t="s">
        <v>442</v>
      </c>
      <c r="J7" s="10" t="s">
        <v>443</v>
      </c>
      <c r="K7" s="9" t="s">
        <v>444</v>
      </c>
      <c r="L7" s="10" t="s">
        <v>427</v>
      </c>
      <c r="M7" s="10" t="s">
        <v>428</v>
      </c>
      <c r="N7" s="16"/>
      <c r="O7" s="10" t="s">
        <v>445</v>
      </c>
    </row>
  </sheetData>
  <autoFilter ref="A1:O7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D6A9E"/>
    <pageSetUpPr fitToPage="1"/>
  </sheetPr>
  <dimension ref="A1:I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  <col min="4" max="6" width="16.7109375" customWidth="1"/>
    <col min="7" max="7" width="11.7109375" customWidth="1"/>
    <col min="8" max="8" width="14.7109375" customWidth="1"/>
    <col min="9" max="9" width="30.7109375" customWidth="1"/>
  </cols>
  <sheetData>
    <row r="1" spans="1:9">
      <c r="A1" s="11" t="s">
        <v>28</v>
      </c>
      <c r="B1" s="11" t="s">
        <v>29</v>
      </c>
      <c r="C1" s="11" t="s">
        <v>30</v>
      </c>
      <c r="D1" s="11" t="s">
        <v>413</v>
      </c>
      <c r="E1" s="11" t="s">
        <v>414</v>
      </c>
      <c r="F1" s="11" t="s">
        <v>415</v>
      </c>
      <c r="G1" s="11" t="s">
        <v>416</v>
      </c>
      <c r="H1" s="11" t="s">
        <v>417</v>
      </c>
      <c r="I1" s="11" t="s">
        <v>506</v>
      </c>
    </row>
    <row r="2" spans="1:9">
      <c r="A2" s="10" t="s">
        <v>54</v>
      </c>
      <c r="B2" s="10" t="s">
        <v>55</v>
      </c>
      <c r="C2" s="10" t="s">
        <v>63</v>
      </c>
      <c r="D2" s="12">
        <f>SUMPRODUCT((Data!$A$2:$A$666=$A2)*(Data!$B$2:$B$666=$B2)*(Data!$C$2:$C$666=$C2)*(ISNUMBER(MATCH(Data!$D$2:$D$666,BaseMonths,0)))*Data!$E$2:$E$666)</f>
        <v>440441.66</v>
      </c>
      <c r="E2" s="12">
        <f>SUMPRODUCT((Data!$A$2:$A$666=$A2)*(Data!$B$2:$B$666=$B2)*(Data!$C$2:$C$666=$C2)*(ISNUMBER(MATCH(Data!$D$2:$D$666,CurrentMonths,0)))*Data!$E$2:$E$666)</f>
        <v>-2367.7</v>
      </c>
      <c r="F2" s="12">
        <f>E2-D2</f>
        <v>-442809.36</v>
      </c>
      <c r="G2" s="13">
        <f>IF(D2=0,"",F2/ABS(D2))</f>
        <v>-1.0053757403420922</v>
      </c>
      <c r="H2" s="10" t="str">
        <f>IF(ABS(F2)&gt;=Threshold,"Yes","No")</f>
        <v>Yes</v>
      </c>
      <c r="I2" s="10" t="s">
        <v>424</v>
      </c>
    </row>
    <row r="3" spans="1:9">
      <c r="A3" s="10" t="s">
        <v>123</v>
      </c>
      <c r="B3" s="10" t="s">
        <v>67</v>
      </c>
      <c r="C3" s="10" t="s">
        <v>128</v>
      </c>
      <c r="D3" s="12">
        <f>SUMPRODUCT((Data!$A$2:$A$666=$A3)*(Data!$B$2:$B$666=$B3)*(Data!$C$2:$C$666=$C3)*(ISNUMBER(MATCH(Data!$D$2:$D$666,BaseMonths,0)))*Data!$E$2:$E$666)</f>
        <v>1128961.96</v>
      </c>
      <c r="E3" s="12">
        <f>SUMPRODUCT((Data!$A$2:$A$666=$A3)*(Data!$B$2:$B$666=$B3)*(Data!$C$2:$C$666=$C3)*(ISNUMBER(MATCH(Data!$D$2:$D$666,CurrentMonths,0)))*Data!$E$2:$E$666)</f>
        <v>704639.62</v>
      </c>
      <c r="F3" s="12">
        <f>E3-D3</f>
        <v>-424322.34</v>
      </c>
      <c r="G3" s="13">
        <f>IF(D3=0,"",F3/ABS(D3))</f>
        <v>-0.37585176031971884</v>
      </c>
      <c r="H3" s="10" t="str">
        <f>IF(ABS(F3)&gt;=Threshold,"Yes","No")</f>
        <v>Yes</v>
      </c>
      <c r="I3" s="10" t="s">
        <v>430</v>
      </c>
    </row>
    <row r="4" spans="1:9">
      <c r="A4" s="10" t="s">
        <v>322</v>
      </c>
      <c r="B4" s="10" t="s">
        <v>55</v>
      </c>
      <c r="C4" s="10" t="s">
        <v>353</v>
      </c>
      <c r="D4" s="12">
        <f>SUMPRODUCT((Data!$A$2:$A$666=$A4)*(Data!$B$2:$B$666=$B4)*(Data!$C$2:$C$666=$C4)*(ISNUMBER(MATCH(Data!$D$2:$D$666,BaseMonths,0)))*Data!$E$2:$E$666)</f>
        <v>716637.09</v>
      </c>
      <c r="E4" s="12">
        <f>SUMPRODUCT((Data!$A$2:$A$666=$A4)*(Data!$B$2:$B$666=$B4)*(Data!$C$2:$C$666=$C4)*(ISNUMBER(MATCH(Data!$D$2:$D$666,CurrentMonths,0)))*Data!$E$2:$E$666)</f>
        <v>321587.31</v>
      </c>
      <c r="F4" s="12">
        <f>E4-D4</f>
        <v>-395049.78</v>
      </c>
      <c r="G4" s="13">
        <f>IF(D4=0,"",F4/ABS(D4))</f>
        <v>-0.5512550013284967</v>
      </c>
      <c r="H4" s="10" t="str">
        <f>IF(ABS(F4)&gt;=Threshold,"Yes","No")</f>
        <v>Yes</v>
      </c>
      <c r="I4" s="10" t="s">
        <v>433</v>
      </c>
    </row>
    <row r="5" spans="1:9">
      <c r="A5" s="10" t="s">
        <v>322</v>
      </c>
      <c r="B5" s="10" t="s">
        <v>55</v>
      </c>
      <c r="C5" s="10" t="s">
        <v>390</v>
      </c>
      <c r="D5" s="12">
        <f>SUMPRODUCT((Data!$A$2:$A$666=$A5)*(Data!$B$2:$B$666=$B5)*(Data!$C$2:$C$666=$C5)*(ISNUMBER(MATCH(Data!$D$2:$D$666,BaseMonths,0)))*Data!$E$2:$E$666)</f>
        <v>285390.86</v>
      </c>
      <c r="E5" s="12">
        <f>SUMPRODUCT((Data!$A$2:$A$666=$A5)*(Data!$B$2:$B$666=$B5)*(Data!$C$2:$C$666=$C5)*(ISNUMBER(MATCH(Data!$D$2:$D$666,CurrentMonths,0)))*Data!$E$2:$E$666)</f>
        <v>-88890.38</v>
      </c>
      <c r="F5" s="12">
        <f>E5-D5</f>
        <v>-374281.24</v>
      </c>
      <c r="G5" s="13">
        <f>IF(D5=0,"",F5/ABS(D5))</f>
        <v>-1.3114689096910812</v>
      </c>
      <c r="H5" s="10" t="str">
        <f>IF(ABS(F5)&gt;=Threshold,"Yes","No")</f>
        <v>Yes</v>
      </c>
      <c r="I5" s="10" t="s">
        <v>436</v>
      </c>
    </row>
    <row r="6" spans="1:9">
      <c r="A6" s="10" t="s">
        <v>266</v>
      </c>
      <c r="B6" s="10" t="s">
        <v>34</v>
      </c>
      <c r="C6" s="10" t="s">
        <v>270</v>
      </c>
      <c r="D6" s="12">
        <f>SUMPRODUCT((Data!$A$2:$A$666=$A6)*(Data!$B$2:$B$666=$B6)*(Data!$C$2:$C$666=$C6)*(ISNUMBER(MATCH(Data!$D$2:$D$666,BaseMonths,0)))*Data!$E$2:$E$666)</f>
        <v>144966.12</v>
      </c>
      <c r="E6" s="12">
        <f>SUMPRODUCT((Data!$A$2:$A$666=$A6)*(Data!$B$2:$B$666=$B6)*(Data!$C$2:$C$666=$C6)*(ISNUMBER(MATCH(Data!$D$2:$D$666,CurrentMonths,0)))*Data!$E$2:$E$666)</f>
        <v>448730.36</v>
      </c>
      <c r="F6" s="12">
        <f>E6-D6</f>
        <v>303764.24</v>
      </c>
      <c r="G6" s="13">
        <f>IF(D6=0,"",F6/ABS(D6))</f>
        <v>2.095415397749488</v>
      </c>
      <c r="H6" s="10" t="str">
        <f>IF(ABS(F6)&gt;=Threshold,"Yes","No")</f>
        <v>Yes</v>
      </c>
      <c r="I6" s="10" t="s">
        <v>439</v>
      </c>
    </row>
    <row r="7" spans="1:9">
      <c r="A7" s="10" t="s">
        <v>144</v>
      </c>
      <c r="B7" s="10" t="s">
        <v>34</v>
      </c>
      <c r="C7" s="10" t="s">
        <v>146</v>
      </c>
      <c r="D7" s="12">
        <f>SUMPRODUCT((Data!$A$2:$A$666=$A7)*(Data!$B$2:$B$666=$B7)*(Data!$C$2:$C$666=$C7)*(ISNUMBER(MATCH(Data!$D$2:$D$666,BaseMonths,0)))*Data!$E$2:$E$666)</f>
        <v>341809.39</v>
      </c>
      <c r="E7" s="12">
        <f>SUMPRODUCT((Data!$A$2:$A$666=$A7)*(Data!$B$2:$B$666=$B7)*(Data!$C$2:$C$666=$C7)*(ISNUMBER(MATCH(Data!$D$2:$D$666,CurrentMonths,0)))*Data!$E$2:$E$666)</f>
        <v>633756.63</v>
      </c>
      <c r="F7" s="12">
        <f>E7-D7</f>
        <v>291947.24</v>
      </c>
      <c r="G7" s="13">
        <f>IF(D7=0,"",F7/ABS(D7))</f>
        <v>0.8541229367630888</v>
      </c>
      <c r="H7" s="10" t="str">
        <f>IF(ABS(F7)&gt;=Threshold,"Yes","No")</f>
        <v>No</v>
      </c>
      <c r="I7" s="10" t="s">
        <v>18</v>
      </c>
    </row>
    <row r="8" spans="1:9">
      <c r="A8" s="10" t="s">
        <v>322</v>
      </c>
      <c r="B8" s="10" t="s">
        <v>55</v>
      </c>
      <c r="C8" s="10" t="s">
        <v>384</v>
      </c>
      <c r="D8" s="12">
        <f>SUMPRODUCT((Data!$A$2:$A$666=$A8)*(Data!$B$2:$B$666=$B8)*(Data!$C$2:$C$666=$C8)*(ISNUMBER(MATCH(Data!$D$2:$D$666,BaseMonths,0)))*Data!$E$2:$E$666)</f>
        <v>176444.83</v>
      </c>
      <c r="E8" s="12">
        <f>SUMPRODUCT((Data!$A$2:$A$666=$A8)*(Data!$B$2:$B$666=$B8)*(Data!$C$2:$C$666=$C8)*(ISNUMBER(MATCH(Data!$D$2:$D$666,CurrentMonths,0)))*Data!$E$2:$E$666)</f>
        <v>-104711.23</v>
      </c>
      <c r="F8" s="12">
        <f>E8-D8</f>
        <v>-281156.06</v>
      </c>
      <c r="G8" s="13">
        <f>IF(D8=0,"",F8/ABS(D8))</f>
        <v>-1.593450258644586</v>
      </c>
      <c r="H8" s="10" t="str">
        <f>IF(ABS(F8)&gt;=Threshold,"Yes","No")</f>
        <v>No</v>
      </c>
      <c r="I8" s="10" t="s">
        <v>18</v>
      </c>
    </row>
    <row r="9" spans="1:9">
      <c r="A9" s="10" t="s">
        <v>305</v>
      </c>
      <c r="B9" s="10" t="s">
        <v>67</v>
      </c>
      <c r="C9" s="10" t="s">
        <v>312</v>
      </c>
      <c r="D9" s="12">
        <f>SUMPRODUCT((Data!$A$2:$A$666=$A9)*(Data!$B$2:$B$666=$B9)*(Data!$C$2:$C$666=$C9)*(ISNUMBER(MATCH(Data!$D$2:$D$666,BaseMonths,0)))*Data!$E$2:$E$666)</f>
        <v>497242.02</v>
      </c>
      <c r="E9" s="12">
        <f>SUMPRODUCT((Data!$A$2:$A$666=$A9)*(Data!$B$2:$B$666=$B9)*(Data!$C$2:$C$666=$C9)*(ISNUMBER(MATCH(Data!$D$2:$D$666,CurrentMonths,0)))*Data!$E$2:$E$666)</f>
        <v>220730.16</v>
      </c>
      <c r="F9" s="12">
        <f>E9-D9</f>
        <v>-276511.86</v>
      </c>
      <c r="G9" s="13">
        <f>IF(D9=0,"",F9/ABS(D9))</f>
        <v>-0.5560910962432338</v>
      </c>
      <c r="H9" s="10" t="str">
        <f>IF(ABS(F9)&gt;=Threshold,"Yes","No")</f>
        <v>No</v>
      </c>
      <c r="I9" s="10" t="s">
        <v>18</v>
      </c>
    </row>
    <row r="10" spans="1:9">
      <c r="A10" s="10" t="s">
        <v>322</v>
      </c>
      <c r="B10" s="10" t="s">
        <v>55</v>
      </c>
      <c r="C10" s="10" t="s">
        <v>391</v>
      </c>
      <c r="D10" s="12">
        <f>SUMPRODUCT((Data!$A$2:$A$666=$A10)*(Data!$B$2:$B$666=$B10)*(Data!$C$2:$C$666=$C10)*(ISNUMBER(MATCH(Data!$D$2:$D$666,BaseMonths,0)))*Data!$E$2:$E$666)</f>
        <v>167358.02</v>
      </c>
      <c r="E10" s="12">
        <f>SUMPRODUCT((Data!$A$2:$A$666=$A10)*(Data!$B$2:$B$666=$B10)*(Data!$C$2:$C$666=$C10)*(ISNUMBER(MATCH(Data!$D$2:$D$666,CurrentMonths,0)))*Data!$E$2:$E$666)</f>
        <v>-103477.24</v>
      </c>
      <c r="F10" s="12">
        <f>E10-D10</f>
        <v>-270835.26</v>
      </c>
      <c r="G10" s="13">
        <f>IF(D10=0,"",F10/ABS(D10))</f>
        <v>-1.618298662950243</v>
      </c>
      <c r="H10" s="10" t="str">
        <f>IF(ABS(F10)&gt;=Threshold,"Yes","No")</f>
        <v>No</v>
      </c>
      <c r="I10" s="10" t="s">
        <v>18</v>
      </c>
    </row>
    <row r="11" spans="1:9">
      <c r="A11" s="10" t="s">
        <v>123</v>
      </c>
      <c r="B11" s="10" t="s">
        <v>67</v>
      </c>
      <c r="C11" s="10" t="s">
        <v>130</v>
      </c>
      <c r="D11" s="12">
        <f>SUMPRODUCT((Data!$A$2:$A$666=$A11)*(Data!$B$2:$B$666=$B11)*(Data!$C$2:$C$666=$C11)*(ISNUMBER(MATCH(Data!$D$2:$D$666,BaseMonths,0)))*Data!$E$2:$E$666)</f>
        <v>277039.09</v>
      </c>
      <c r="E11" s="12">
        <f>SUMPRODUCT((Data!$A$2:$A$666=$A11)*(Data!$B$2:$B$666=$B11)*(Data!$C$2:$C$666=$C11)*(ISNUMBER(MATCH(Data!$D$2:$D$666,CurrentMonths,0)))*Data!$E$2:$E$666)</f>
        <v>29848.07</v>
      </c>
      <c r="F11" s="12">
        <f>E11-D11</f>
        <v>-247191.02</v>
      </c>
      <c r="G11" s="13">
        <f>IF(D11=0,"",F11/ABS(D11))</f>
        <v>-0.8922604387705719</v>
      </c>
      <c r="H11" s="10" t="str">
        <f>IF(ABS(F11)&gt;=Threshold,"Yes","No")</f>
        <v>No</v>
      </c>
      <c r="I11" s="10" t="s">
        <v>18</v>
      </c>
    </row>
    <row r="12" spans="1:9">
      <c r="A12" s="10" t="s">
        <v>305</v>
      </c>
      <c r="B12" s="10" t="s">
        <v>67</v>
      </c>
      <c r="C12" s="10" t="s">
        <v>310</v>
      </c>
      <c r="D12" s="12">
        <f>SUMPRODUCT((Data!$A$2:$A$666=$A12)*(Data!$B$2:$B$666=$B12)*(Data!$C$2:$C$666=$C12)*(ISNUMBER(MATCH(Data!$D$2:$D$666,BaseMonths,0)))*Data!$E$2:$E$666)</f>
        <v>318550.22</v>
      </c>
      <c r="E12" s="12">
        <f>SUMPRODUCT((Data!$A$2:$A$666=$A12)*(Data!$B$2:$B$666=$B12)*(Data!$C$2:$C$666=$C12)*(ISNUMBER(MATCH(Data!$D$2:$D$666,CurrentMonths,0)))*Data!$E$2:$E$666)</f>
        <v>85507.34</v>
      </c>
      <c r="F12" s="12">
        <f>E12-D12</f>
        <v>-233042.88</v>
      </c>
      <c r="G12" s="13">
        <f>IF(D12=0,"",F12/ABS(D12))</f>
        <v>-0.7315734391895885</v>
      </c>
      <c r="H12" s="10" t="str">
        <f>IF(ABS(F12)&gt;=Threshold,"Yes","No")</f>
        <v>No</v>
      </c>
      <c r="I12" s="10" t="s">
        <v>18</v>
      </c>
    </row>
    <row r="13" spans="1:9">
      <c r="A13" s="10" t="s">
        <v>169</v>
      </c>
      <c r="B13" s="10" t="s">
        <v>67</v>
      </c>
      <c r="C13" s="10" t="s">
        <v>175</v>
      </c>
      <c r="D13" s="12">
        <f>SUMPRODUCT((Data!$A$2:$A$666=$A13)*(Data!$B$2:$B$666=$B13)*(Data!$C$2:$C$666=$C13)*(ISNUMBER(MATCH(Data!$D$2:$D$666,BaseMonths,0)))*Data!$E$2:$E$666)</f>
        <v>272403.45</v>
      </c>
      <c r="E13" s="12">
        <f>SUMPRODUCT((Data!$A$2:$A$666=$A13)*(Data!$B$2:$B$666=$B13)*(Data!$C$2:$C$666=$C13)*(ISNUMBER(MATCH(Data!$D$2:$D$666,CurrentMonths,0)))*Data!$E$2:$E$666)</f>
        <v>48962.98</v>
      </c>
      <c r="F13" s="12">
        <f>E13-D13</f>
        <v>-223440.47</v>
      </c>
      <c r="G13" s="13">
        <f>IF(D13=0,"",F13/ABS(D13))</f>
        <v>-0.8202556538839725</v>
      </c>
      <c r="H13" s="10" t="str">
        <f>IF(ABS(F13)&gt;=Threshold,"Yes","No")</f>
        <v>No</v>
      </c>
      <c r="I13" s="10" t="s">
        <v>18</v>
      </c>
    </row>
    <row r="14" spans="1:9">
      <c r="A14" s="10" t="s">
        <v>111</v>
      </c>
      <c r="B14" s="10" t="s">
        <v>67</v>
      </c>
      <c r="C14" s="10" t="s">
        <v>117</v>
      </c>
      <c r="D14" s="12">
        <f>SUMPRODUCT((Data!$A$2:$A$666=$A14)*(Data!$B$2:$B$666=$B14)*(Data!$C$2:$C$666=$C14)*(ISNUMBER(MATCH(Data!$D$2:$D$666,BaseMonths,0)))*Data!$E$2:$E$666)</f>
        <v>375074.17</v>
      </c>
      <c r="E14" s="12">
        <f>SUMPRODUCT((Data!$A$2:$A$666=$A14)*(Data!$B$2:$B$666=$B14)*(Data!$C$2:$C$666=$C14)*(ISNUMBER(MATCH(Data!$D$2:$D$666,CurrentMonths,0)))*Data!$E$2:$E$666)</f>
        <v>164704.73</v>
      </c>
      <c r="F14" s="12">
        <f>E14-D14</f>
        <v>-210369.44</v>
      </c>
      <c r="G14" s="13">
        <f>IF(D14=0,"",F14/ABS(D14))</f>
        <v>-0.5608742398870069</v>
      </c>
      <c r="H14" s="10" t="str">
        <f>IF(ABS(F14)&gt;=Threshold,"Yes","No")</f>
        <v>No</v>
      </c>
      <c r="I14" s="10" t="s">
        <v>18</v>
      </c>
    </row>
    <row r="15" spans="1:9">
      <c r="A15" s="10" t="s">
        <v>111</v>
      </c>
      <c r="B15" s="10" t="s">
        <v>67</v>
      </c>
      <c r="C15" s="10" t="s">
        <v>118</v>
      </c>
      <c r="D15" s="12">
        <f>SUMPRODUCT((Data!$A$2:$A$666=$A15)*(Data!$B$2:$B$666=$B15)*(Data!$C$2:$C$666=$C15)*(ISNUMBER(MATCH(Data!$D$2:$D$666,BaseMonths,0)))*Data!$E$2:$E$666)</f>
        <v>123993.3</v>
      </c>
      <c r="E15" s="12">
        <f>SUMPRODUCT((Data!$A$2:$A$666=$A15)*(Data!$B$2:$B$666=$B15)*(Data!$C$2:$C$666=$C15)*(ISNUMBER(MATCH(Data!$D$2:$D$666,CurrentMonths,0)))*Data!$E$2:$E$666)</f>
        <v>326765.62</v>
      </c>
      <c r="F15" s="12">
        <f>E15-D15</f>
        <v>202772.32</v>
      </c>
      <c r="G15" s="13">
        <f>IF(D15=0,"",F15/ABS(D15))</f>
        <v>1.6353490067608492</v>
      </c>
      <c r="H15" s="10" t="str">
        <f>IF(ABS(F15)&gt;=Threshold,"Yes","No")</f>
        <v>No</v>
      </c>
      <c r="I15" s="10" t="s">
        <v>18</v>
      </c>
    </row>
    <row r="16" spans="1:9">
      <c r="A16" s="10" t="s">
        <v>169</v>
      </c>
      <c r="B16" s="10" t="s">
        <v>67</v>
      </c>
      <c r="C16" s="10" t="s">
        <v>174</v>
      </c>
      <c r="D16" s="12">
        <f>SUMPRODUCT((Data!$A$2:$A$666=$A16)*(Data!$B$2:$B$666=$B16)*(Data!$C$2:$C$666=$C16)*(ISNUMBER(MATCH(Data!$D$2:$D$666,BaseMonths,0)))*Data!$E$2:$E$666)</f>
        <v>237477.49</v>
      </c>
      <c r="E16" s="12">
        <f>SUMPRODUCT((Data!$A$2:$A$666=$A16)*(Data!$B$2:$B$666=$B16)*(Data!$C$2:$C$666=$C16)*(ISNUMBER(MATCH(Data!$D$2:$D$666,CurrentMonths,0)))*Data!$E$2:$E$666)</f>
        <v>47262.07</v>
      </c>
      <c r="F16" s="12">
        <f>E16-D16</f>
        <v>-190215.42</v>
      </c>
      <c r="G16" s="13">
        <f>IF(D16=0,"",F16/ABS(D16))</f>
        <v>-0.8009829478996094</v>
      </c>
      <c r="H16" s="10" t="str">
        <f>IF(ABS(F16)&gt;=Threshold,"Yes","No")</f>
        <v>No</v>
      </c>
      <c r="I16" s="10" t="s">
        <v>18</v>
      </c>
    </row>
    <row r="17" spans="1:9">
      <c r="A17" s="10" t="s">
        <v>305</v>
      </c>
      <c r="B17" s="10" t="s">
        <v>67</v>
      </c>
      <c r="C17" s="10" t="s">
        <v>314</v>
      </c>
      <c r="D17" s="12">
        <f>SUMPRODUCT((Data!$A$2:$A$666=$A17)*(Data!$B$2:$B$666=$B17)*(Data!$C$2:$C$666=$C17)*(ISNUMBER(MATCH(Data!$D$2:$D$666,BaseMonths,0)))*Data!$E$2:$E$666)</f>
        <v>383340.68</v>
      </c>
      <c r="E17" s="12">
        <f>SUMPRODUCT((Data!$A$2:$A$666=$A17)*(Data!$B$2:$B$666=$B17)*(Data!$C$2:$C$666=$C17)*(ISNUMBER(MATCH(Data!$D$2:$D$666,CurrentMonths,0)))*Data!$E$2:$E$666)</f>
        <v>196349.88</v>
      </c>
      <c r="F17" s="12">
        <f>E17-D17</f>
        <v>-186990.8</v>
      </c>
      <c r="G17" s="13">
        <f>IF(D17=0,"",F17/ABS(D17))</f>
        <v>-0.48779273830265024</v>
      </c>
      <c r="H17" s="10" t="str">
        <f>IF(ABS(F17)&gt;=Threshold,"Yes","No")</f>
        <v>No</v>
      </c>
      <c r="I17" s="10" t="s">
        <v>18</v>
      </c>
    </row>
    <row r="18" spans="1:9">
      <c r="A18" s="10" t="s">
        <v>213</v>
      </c>
      <c r="B18" s="10" t="s">
        <v>67</v>
      </c>
      <c r="C18" s="10" t="s">
        <v>220</v>
      </c>
      <c r="D18" s="12">
        <f>SUMPRODUCT((Data!$A$2:$A$666=$A18)*(Data!$B$2:$B$666=$B18)*(Data!$C$2:$C$666=$C18)*(ISNUMBER(MATCH(Data!$D$2:$D$666,BaseMonths,0)))*Data!$E$2:$E$666)</f>
        <v>241654.91</v>
      </c>
      <c r="E18" s="12">
        <f>SUMPRODUCT((Data!$A$2:$A$666=$A18)*(Data!$B$2:$B$666=$B18)*(Data!$C$2:$C$666=$C18)*(ISNUMBER(MATCH(Data!$D$2:$D$666,CurrentMonths,0)))*Data!$E$2:$E$666)</f>
        <v>55000.88</v>
      </c>
      <c r="F18" s="12">
        <f>E18-D18</f>
        <v>-186654.03</v>
      </c>
      <c r="G18" s="13">
        <f>IF(D18=0,"",F18/ABS(D18))</f>
        <v>-0.7723990793317628</v>
      </c>
      <c r="H18" s="10" t="str">
        <f>IF(ABS(F18)&gt;=Threshold,"Yes","No")</f>
        <v>No</v>
      </c>
      <c r="I18" s="10" t="s">
        <v>18</v>
      </c>
    </row>
    <row r="19" spans="1:9">
      <c r="A19" s="10" t="s">
        <v>266</v>
      </c>
      <c r="B19" s="10" t="s">
        <v>34</v>
      </c>
      <c r="C19" s="10" t="s">
        <v>269</v>
      </c>
      <c r="D19" s="12">
        <f>SUMPRODUCT((Data!$A$2:$A$666=$A19)*(Data!$B$2:$B$666=$B19)*(Data!$C$2:$C$666=$C19)*(ISNUMBER(MATCH(Data!$D$2:$D$666,BaseMonths,0)))*Data!$E$2:$E$666)</f>
        <v>251991.23</v>
      </c>
      <c r="E19" s="12">
        <f>SUMPRODUCT((Data!$A$2:$A$666=$A19)*(Data!$B$2:$B$666=$B19)*(Data!$C$2:$C$666=$C19)*(ISNUMBER(MATCH(Data!$D$2:$D$666,CurrentMonths,0)))*Data!$E$2:$E$666)</f>
        <v>433473.75</v>
      </c>
      <c r="F19" s="12">
        <f>E19-D19</f>
        <v>181482.52</v>
      </c>
      <c r="G19" s="13">
        <f>IF(D19=0,"",F19/ABS(D19))</f>
        <v>0.7201937940459276</v>
      </c>
      <c r="H19" s="10" t="str">
        <f>IF(ABS(F19)&gt;=Threshold,"Yes","No")</f>
        <v>No</v>
      </c>
      <c r="I19" s="10" t="s">
        <v>18</v>
      </c>
    </row>
    <row r="20" spans="1:9">
      <c r="A20" s="10" t="s">
        <v>322</v>
      </c>
      <c r="B20" s="10" t="s">
        <v>55</v>
      </c>
      <c r="C20" s="10" t="s">
        <v>337</v>
      </c>
      <c r="D20" s="12">
        <f>SUMPRODUCT((Data!$A$2:$A$666=$A20)*(Data!$B$2:$B$666=$B20)*(Data!$C$2:$C$666=$C20)*(ISNUMBER(MATCH(Data!$D$2:$D$666,BaseMonths,0)))*Data!$E$2:$E$666)</f>
        <v>205450.92</v>
      </c>
      <c r="E20" s="12">
        <f>SUMPRODUCT((Data!$A$2:$A$666=$A20)*(Data!$B$2:$B$666=$B20)*(Data!$C$2:$C$666=$C20)*(ISNUMBER(MATCH(Data!$D$2:$D$666,CurrentMonths,0)))*Data!$E$2:$E$666)</f>
        <v>24267.29</v>
      </c>
      <c r="F20" s="12">
        <f>E20-D20</f>
        <v>-181183.63</v>
      </c>
      <c r="G20" s="13">
        <f>IF(D20=0,"",F20/ABS(D20))</f>
        <v>-0.8818827873829915</v>
      </c>
      <c r="H20" s="10" t="str">
        <f>IF(ABS(F20)&gt;=Threshold,"Yes","No")</f>
        <v>No</v>
      </c>
      <c r="I20" s="10" t="s">
        <v>18</v>
      </c>
    </row>
    <row r="21" spans="1:9">
      <c r="A21" s="10" t="s">
        <v>70</v>
      </c>
      <c r="B21" s="10" t="s">
        <v>55</v>
      </c>
      <c r="C21" s="10" t="s">
        <v>75</v>
      </c>
      <c r="D21" s="12">
        <f>SUMPRODUCT((Data!$A$2:$A$666=$A21)*(Data!$B$2:$B$666=$B21)*(Data!$C$2:$C$666=$C21)*(ISNUMBER(MATCH(Data!$D$2:$D$666,BaseMonths,0)))*Data!$E$2:$E$666)</f>
        <v>223468.25</v>
      </c>
      <c r="E21" s="12">
        <f>SUMPRODUCT((Data!$A$2:$A$666=$A21)*(Data!$B$2:$B$666=$B21)*(Data!$C$2:$C$666=$C21)*(ISNUMBER(MATCH(Data!$D$2:$D$666,CurrentMonths,0)))*Data!$E$2:$E$666)</f>
        <v>43978.69</v>
      </c>
      <c r="F21" s="12">
        <f>E21-D21</f>
        <v>-179489.56</v>
      </c>
      <c r="G21" s="13">
        <f>IF(D21=0,"",F21/ABS(D21))</f>
        <v>-0.8031993806726458</v>
      </c>
      <c r="H21" s="10" t="str">
        <f>IF(ABS(F21)&gt;=Threshold,"Yes","No")</f>
        <v>No</v>
      </c>
      <c r="I21" s="10" t="s">
        <v>18</v>
      </c>
    </row>
    <row r="22" spans="1:9">
      <c r="A22" s="10" t="s">
        <v>322</v>
      </c>
      <c r="B22" s="10" t="s">
        <v>55</v>
      </c>
      <c r="C22" s="10" t="s">
        <v>398</v>
      </c>
      <c r="D22" s="12">
        <f>SUMPRODUCT((Data!$A$2:$A$666=$A22)*(Data!$B$2:$B$666=$B22)*(Data!$C$2:$C$666=$C22)*(ISNUMBER(MATCH(Data!$D$2:$D$666,BaseMonths,0)))*Data!$E$2:$E$666)</f>
        <v>224724.33</v>
      </c>
      <c r="E22" s="12">
        <f>SUMPRODUCT((Data!$A$2:$A$666=$A22)*(Data!$B$2:$B$666=$B22)*(Data!$C$2:$C$666=$C22)*(ISNUMBER(MATCH(Data!$D$2:$D$666,CurrentMonths,0)))*Data!$E$2:$E$666)</f>
        <v>45318.49</v>
      </c>
      <c r="F22" s="12">
        <f>E22-D22</f>
        <v>-179405.84</v>
      </c>
      <c r="G22" s="13">
        <f>IF(D22=0,"",F22/ABS(D22))</f>
        <v>-0.7983374118859315</v>
      </c>
      <c r="H22" s="10" t="str">
        <f>IF(ABS(F22)&gt;=Threshold,"Yes","No")</f>
        <v>No</v>
      </c>
      <c r="I22" s="10" t="s">
        <v>18</v>
      </c>
    </row>
    <row r="23" spans="1:9">
      <c r="A23" s="10" t="s">
        <v>322</v>
      </c>
      <c r="B23" s="10" t="s">
        <v>55</v>
      </c>
      <c r="C23" s="10" t="s">
        <v>325</v>
      </c>
      <c r="D23" s="12">
        <f>SUMPRODUCT((Data!$A$2:$A$666=$A23)*(Data!$B$2:$B$666=$B23)*(Data!$C$2:$C$666=$C23)*(ISNUMBER(MATCH(Data!$D$2:$D$666,BaseMonths,0)))*Data!$E$2:$E$666)</f>
        <v>192821.23</v>
      </c>
      <c r="E23" s="12">
        <f>SUMPRODUCT((Data!$A$2:$A$666=$A23)*(Data!$B$2:$B$666=$B23)*(Data!$C$2:$C$666=$C23)*(ISNUMBER(MATCH(Data!$D$2:$D$666,CurrentMonths,0)))*Data!$E$2:$E$666)</f>
        <v>14726.48</v>
      </c>
      <c r="F23" s="12">
        <f>E23-D23</f>
        <v>-178094.75</v>
      </c>
      <c r="G23" s="13">
        <f>IF(D23=0,"",F23/ABS(D23))</f>
        <v>-0.9236262521507616</v>
      </c>
      <c r="H23" s="10" t="str">
        <f>IF(ABS(F23)&gt;=Threshold,"Yes","No")</f>
        <v>No</v>
      </c>
      <c r="I23" s="10" t="s">
        <v>18</v>
      </c>
    </row>
    <row r="24" spans="1:9">
      <c r="A24" s="10" t="s">
        <v>322</v>
      </c>
      <c r="B24" s="10" t="s">
        <v>55</v>
      </c>
      <c r="C24" s="10" t="s">
        <v>371</v>
      </c>
      <c r="D24" s="12">
        <f>SUMPRODUCT((Data!$A$2:$A$666=$A24)*(Data!$B$2:$B$666=$B24)*(Data!$C$2:$C$666=$C24)*(ISNUMBER(MATCH(Data!$D$2:$D$666,BaseMonths,0)))*Data!$E$2:$E$666)</f>
        <v>174164.25</v>
      </c>
      <c r="E24" s="12">
        <f>SUMPRODUCT((Data!$A$2:$A$666=$A24)*(Data!$B$2:$B$666=$B24)*(Data!$C$2:$C$666=$C24)*(ISNUMBER(MATCH(Data!$D$2:$D$666,CurrentMonths,0)))*Data!$E$2:$E$666)</f>
        <v>1421.2</v>
      </c>
      <c r="F24" s="12">
        <f>E24-D24</f>
        <v>-172743.05</v>
      </c>
      <c r="G24" s="13">
        <f>IF(D24=0,"",F24/ABS(D24))</f>
        <v>-0.9918398867735485</v>
      </c>
      <c r="H24" s="10" t="str">
        <f>IF(ABS(F24)&gt;=Threshold,"Yes","No")</f>
        <v>No</v>
      </c>
      <c r="I24" s="10" t="s">
        <v>18</v>
      </c>
    </row>
    <row r="25" spans="1:9">
      <c r="A25" s="10" t="s">
        <v>261</v>
      </c>
      <c r="B25" s="10" t="s">
        <v>67</v>
      </c>
      <c r="C25" s="10" t="s">
        <v>262</v>
      </c>
      <c r="D25" s="12">
        <f>SUMPRODUCT((Data!$A$2:$A$666=$A25)*(Data!$B$2:$B$666=$B25)*(Data!$C$2:$C$666=$C25)*(ISNUMBER(MATCH(Data!$D$2:$D$666,BaseMonths,0)))*Data!$E$2:$E$666)</f>
        <v>189006.15</v>
      </c>
      <c r="E25" s="12">
        <f>SUMPRODUCT((Data!$A$2:$A$666=$A25)*(Data!$B$2:$B$666=$B25)*(Data!$C$2:$C$666=$C25)*(ISNUMBER(MATCH(Data!$D$2:$D$666,CurrentMonths,0)))*Data!$E$2:$E$666)</f>
        <v>17349.87</v>
      </c>
      <c r="F25" s="12">
        <f>E25-D25</f>
        <v>-171656.28</v>
      </c>
      <c r="G25" s="13">
        <f>IF(D25=0,"",F25/ABS(D25))</f>
        <v>-0.9082047330205922</v>
      </c>
      <c r="H25" s="10" t="str">
        <f>IF(ABS(F25)&gt;=Threshold,"Yes","No")</f>
        <v>No</v>
      </c>
      <c r="I25" s="10" t="s">
        <v>18</v>
      </c>
    </row>
    <row r="26" spans="1:9">
      <c r="A26" s="10" t="s">
        <v>322</v>
      </c>
      <c r="B26" s="10" t="s">
        <v>55</v>
      </c>
      <c r="C26" s="10" t="s">
        <v>407</v>
      </c>
      <c r="D26" s="12">
        <f>SUMPRODUCT((Data!$A$2:$A$666=$A26)*(Data!$B$2:$B$666=$B26)*(Data!$C$2:$C$666=$C26)*(ISNUMBER(MATCH(Data!$D$2:$D$666,BaseMonths,0)))*Data!$E$2:$E$666)</f>
        <v>246972.51</v>
      </c>
      <c r="E26" s="12">
        <f>SUMPRODUCT((Data!$A$2:$A$666=$A26)*(Data!$B$2:$B$666=$B26)*(Data!$C$2:$C$666=$C26)*(ISNUMBER(MATCH(Data!$D$2:$D$666,CurrentMonths,0)))*Data!$E$2:$E$666)</f>
        <v>90467.51</v>
      </c>
      <c r="F26" s="12">
        <f>E26-D26</f>
        <v>-156505.0</v>
      </c>
      <c r="G26" s="13">
        <f>IF(D26=0,"",F26/ABS(D26))</f>
        <v>-0.6336940091024705</v>
      </c>
      <c r="H26" s="10" t="str">
        <f>IF(ABS(F26)&gt;=Threshold,"Yes","No")</f>
        <v>No</v>
      </c>
      <c r="I26" s="10" t="s">
        <v>18</v>
      </c>
    </row>
    <row r="27" spans="1:9">
      <c r="A27" s="10" t="s">
        <v>123</v>
      </c>
      <c r="B27" s="10" t="s">
        <v>67</v>
      </c>
      <c r="C27" s="10" t="s">
        <v>131</v>
      </c>
      <c r="D27" s="12">
        <f>SUMPRODUCT((Data!$A$2:$A$666=$A27)*(Data!$B$2:$B$666=$B27)*(Data!$C$2:$C$666=$C27)*(ISNUMBER(MATCH(Data!$D$2:$D$666,BaseMonths,0)))*Data!$E$2:$E$666)</f>
        <v>173115.95</v>
      </c>
      <c r="E27" s="12">
        <f>SUMPRODUCT((Data!$A$2:$A$666=$A27)*(Data!$B$2:$B$666=$B27)*(Data!$C$2:$C$666=$C27)*(ISNUMBER(MATCH(Data!$D$2:$D$666,CurrentMonths,0)))*Data!$E$2:$E$666)</f>
        <v>23233.01</v>
      </c>
      <c r="F27" s="12">
        <f>E27-D27</f>
        <v>-149882.94</v>
      </c>
      <c r="G27" s="13">
        <f>IF(D27=0,"",F27/ABS(D27))</f>
        <v>-0.865795092826513</v>
      </c>
      <c r="H27" s="10" t="str">
        <f>IF(ABS(F27)&gt;=Threshold,"Yes","No")</f>
        <v>No</v>
      </c>
      <c r="I27" s="10" t="s">
        <v>18</v>
      </c>
    </row>
    <row r="28" spans="1:9">
      <c r="A28" s="10" t="s">
        <v>322</v>
      </c>
      <c r="B28" s="10" t="s">
        <v>55</v>
      </c>
      <c r="C28" s="10" t="s">
        <v>326</v>
      </c>
      <c r="D28" s="12">
        <f>SUMPRODUCT((Data!$A$2:$A$666=$A28)*(Data!$B$2:$B$666=$B28)*(Data!$C$2:$C$666=$C28)*(ISNUMBER(MATCH(Data!$D$2:$D$666,BaseMonths,0)))*Data!$E$2:$E$666)</f>
        <v>145889.49</v>
      </c>
      <c r="E28" s="12">
        <f>SUMPRODUCT((Data!$A$2:$A$666=$A28)*(Data!$B$2:$B$666=$B28)*(Data!$C$2:$C$666=$C28)*(ISNUMBER(MATCH(Data!$D$2:$D$666,CurrentMonths,0)))*Data!$E$2:$E$666)</f>
        <v>-3.53</v>
      </c>
      <c r="F28" s="12">
        <f>E28-D28</f>
        <v>-145893.02</v>
      </c>
      <c r="G28" s="13">
        <f>IF(D28=0,"",F28/ABS(D28))</f>
        <v>-1.0000241963968755</v>
      </c>
      <c r="H28" s="10" t="str">
        <f>IF(ABS(F28)&gt;=Threshold,"Yes","No")</f>
        <v>No</v>
      </c>
      <c r="I28" s="10" t="s">
        <v>18</v>
      </c>
    </row>
    <row r="29" spans="1:9">
      <c r="A29" s="10" t="s">
        <v>229</v>
      </c>
      <c r="B29" s="10" t="s">
        <v>67</v>
      </c>
      <c r="C29" s="10" t="s">
        <v>239</v>
      </c>
      <c r="D29" s="12">
        <f>SUMPRODUCT((Data!$A$2:$A$666=$A29)*(Data!$B$2:$B$666=$B29)*(Data!$C$2:$C$666=$C29)*(ISNUMBER(MATCH(Data!$D$2:$D$666,BaseMonths,0)))*Data!$E$2:$E$666)</f>
        <v>287357.26</v>
      </c>
      <c r="E29" s="12">
        <f>SUMPRODUCT((Data!$A$2:$A$666=$A29)*(Data!$B$2:$B$666=$B29)*(Data!$C$2:$C$666=$C29)*(ISNUMBER(MATCH(Data!$D$2:$D$666,CurrentMonths,0)))*Data!$E$2:$E$666)</f>
        <v>142008.35</v>
      </c>
      <c r="F29" s="12">
        <f>E29-D29</f>
        <v>-145348.91</v>
      </c>
      <c r="G29" s="13">
        <f>IF(D29=0,"",F29/ABS(D29))</f>
        <v>-0.505812555423169</v>
      </c>
      <c r="H29" s="10" t="str">
        <f>IF(ABS(F29)&gt;=Threshold,"Yes","No")</f>
        <v>No</v>
      </c>
      <c r="I29" s="10" t="s">
        <v>18</v>
      </c>
    </row>
    <row r="30" spans="1:9">
      <c r="A30" s="10" t="s">
        <v>161</v>
      </c>
      <c r="B30" s="10" t="s">
        <v>67</v>
      </c>
      <c r="C30" s="10" t="s">
        <v>164</v>
      </c>
      <c r="D30" s="12">
        <f>SUMPRODUCT((Data!$A$2:$A$666=$A30)*(Data!$B$2:$B$666=$B30)*(Data!$C$2:$C$666=$C30)*(ISNUMBER(MATCH(Data!$D$2:$D$666,BaseMonths,0)))*Data!$E$2:$E$666)</f>
        <v>190393.2</v>
      </c>
      <c r="E30" s="12">
        <f>SUMPRODUCT((Data!$A$2:$A$666=$A30)*(Data!$B$2:$B$666=$B30)*(Data!$C$2:$C$666=$C30)*(ISNUMBER(MATCH(Data!$D$2:$D$666,CurrentMonths,0)))*Data!$E$2:$E$666)</f>
        <v>48254.44</v>
      </c>
      <c r="F30" s="12">
        <f>E30-D30</f>
        <v>-142138.76</v>
      </c>
      <c r="G30" s="13">
        <f>IF(D30=0,"",F30/ABS(D30))</f>
        <v>-0.746553763474746</v>
      </c>
      <c r="H30" s="10" t="str">
        <f>IF(ABS(F30)&gt;=Threshold,"Yes","No")</f>
        <v>No</v>
      </c>
      <c r="I30" s="10" t="s">
        <v>18</v>
      </c>
    </row>
    <row r="31" spans="1:9">
      <c r="A31" s="10" t="s">
        <v>70</v>
      </c>
      <c r="B31" s="10" t="s">
        <v>55</v>
      </c>
      <c r="C31" s="10" t="s">
        <v>73</v>
      </c>
      <c r="D31" s="12">
        <f>SUMPRODUCT((Data!$A$2:$A$666=$A31)*(Data!$B$2:$B$666=$B31)*(Data!$C$2:$C$666=$C31)*(ISNUMBER(MATCH(Data!$D$2:$D$666,BaseMonths,0)))*Data!$E$2:$E$666)</f>
        <v>203452.14</v>
      </c>
      <c r="E31" s="12">
        <f>SUMPRODUCT((Data!$A$2:$A$666=$A31)*(Data!$B$2:$B$666=$B31)*(Data!$C$2:$C$666=$C31)*(ISNUMBER(MATCH(Data!$D$2:$D$666,CurrentMonths,0)))*Data!$E$2:$E$666)</f>
        <v>62813.07</v>
      </c>
      <c r="F31" s="12">
        <f>E31-D31</f>
        <v>-140639.07</v>
      </c>
      <c r="G31" s="13">
        <f>IF(D31=0,"",F31/ABS(D31))</f>
        <v>-0.691263655422843</v>
      </c>
      <c r="H31" s="10" t="str">
        <f>IF(ABS(F31)&gt;=Threshold,"Yes","No")</f>
        <v>No</v>
      </c>
      <c r="I31" s="10" t="s">
        <v>18</v>
      </c>
    </row>
    <row r="32" spans="1:9">
      <c r="A32" s="10" t="s">
        <v>33</v>
      </c>
      <c r="B32" s="10" t="s">
        <v>34</v>
      </c>
      <c r="C32" s="10" t="s">
        <v>41</v>
      </c>
      <c r="D32" s="12">
        <f>SUMPRODUCT((Data!$A$2:$A$666=$A32)*(Data!$B$2:$B$666=$B32)*(Data!$C$2:$C$666=$C32)*(ISNUMBER(MATCH(Data!$D$2:$D$666,BaseMonths,0)))*Data!$E$2:$E$666)</f>
        <v>-39730.89</v>
      </c>
      <c r="E32" s="12">
        <f>SUMPRODUCT((Data!$A$2:$A$666=$A32)*(Data!$B$2:$B$666=$B32)*(Data!$C$2:$C$666=$C32)*(ISNUMBER(MATCH(Data!$D$2:$D$666,CurrentMonths,0)))*Data!$E$2:$E$666)</f>
        <v>100110.3</v>
      </c>
      <c r="F32" s="12">
        <f>E32-D32</f>
        <v>139841.19</v>
      </c>
      <c r="G32" s="13">
        <f>IF(D32=0,"",F32/ABS(D32))</f>
        <v>3.519709475423279</v>
      </c>
      <c r="H32" s="10" t="str">
        <f>IF(ABS(F32)&gt;=Threshold,"Yes","No")</f>
        <v>No</v>
      </c>
      <c r="I32" s="10" t="s">
        <v>18</v>
      </c>
    </row>
    <row r="33" spans="1:9">
      <c r="A33" s="10" t="s">
        <v>322</v>
      </c>
      <c r="B33" s="10" t="s">
        <v>55</v>
      </c>
      <c r="C33" s="10" t="s">
        <v>402</v>
      </c>
      <c r="D33" s="12">
        <f>SUMPRODUCT((Data!$A$2:$A$666=$A33)*(Data!$B$2:$B$666=$B33)*(Data!$C$2:$C$666=$C33)*(ISNUMBER(MATCH(Data!$D$2:$D$666,BaseMonths,0)))*Data!$E$2:$E$666)</f>
        <v>162706.18</v>
      </c>
      <c r="E33" s="12">
        <f>SUMPRODUCT((Data!$A$2:$A$666=$A33)*(Data!$B$2:$B$666=$B33)*(Data!$C$2:$C$666=$C33)*(ISNUMBER(MATCH(Data!$D$2:$D$666,CurrentMonths,0)))*Data!$E$2:$E$666)</f>
        <v>25326.95</v>
      </c>
      <c r="F33" s="12">
        <f>E33-D33</f>
        <v>-137379.23</v>
      </c>
      <c r="G33" s="13">
        <f>IF(D33=0,"",F33/ABS(D33))</f>
        <v>-0.8443393483886108</v>
      </c>
      <c r="H33" s="10" t="str">
        <f>IF(ABS(F33)&gt;=Threshold,"Yes","No")</f>
        <v>No</v>
      </c>
      <c r="I33" s="10" t="s">
        <v>18</v>
      </c>
    </row>
    <row r="34" spans="1:9">
      <c r="A34" s="10" t="s">
        <v>322</v>
      </c>
      <c r="B34" s="10" t="s">
        <v>55</v>
      </c>
      <c r="C34" s="10" t="s">
        <v>388</v>
      </c>
      <c r="D34" s="12">
        <f>SUMPRODUCT((Data!$A$2:$A$666=$A34)*(Data!$B$2:$B$666=$B34)*(Data!$C$2:$C$666=$C34)*(ISNUMBER(MATCH(Data!$D$2:$D$666,BaseMonths,0)))*Data!$E$2:$E$666)</f>
        <v>51156.81</v>
      </c>
      <c r="E34" s="12">
        <f>SUMPRODUCT((Data!$A$2:$A$666=$A34)*(Data!$B$2:$B$666=$B34)*(Data!$C$2:$C$666=$C34)*(ISNUMBER(MATCH(Data!$D$2:$D$666,CurrentMonths,0)))*Data!$E$2:$E$666)</f>
        <v>188371.28</v>
      </c>
      <c r="F34" s="12">
        <f>E34-D34</f>
        <v>137214.47</v>
      </c>
      <c r="G34" s="13">
        <f>IF(D34=0,"",F34/ABS(D34))</f>
        <v>2.6822327271774764</v>
      </c>
      <c r="H34" s="10" t="str">
        <f>IF(ABS(F34)&gt;=Threshold,"Yes","No")</f>
        <v>No</v>
      </c>
      <c r="I34" s="10" t="s">
        <v>18</v>
      </c>
    </row>
    <row r="35" spans="1:9">
      <c r="A35" s="10" t="s">
        <v>111</v>
      </c>
      <c r="B35" s="10" t="s">
        <v>67</v>
      </c>
      <c r="C35" s="10" t="s">
        <v>114</v>
      </c>
      <c r="D35" s="12">
        <f>SUMPRODUCT((Data!$A$2:$A$666=$A35)*(Data!$B$2:$B$666=$B35)*(Data!$C$2:$C$666=$C35)*(ISNUMBER(MATCH(Data!$D$2:$D$666,BaseMonths,0)))*Data!$E$2:$E$666)</f>
        <v>163879.81</v>
      </c>
      <c r="E35" s="12">
        <f>SUMPRODUCT((Data!$A$2:$A$666=$A35)*(Data!$B$2:$B$666=$B35)*(Data!$C$2:$C$666=$C35)*(ISNUMBER(MATCH(Data!$D$2:$D$666,CurrentMonths,0)))*Data!$E$2:$E$666)</f>
        <v>27006.84</v>
      </c>
      <c r="F35" s="12">
        <f>E35-D35</f>
        <v>-136872.97</v>
      </c>
      <c r="G35" s="13">
        <f>IF(D35=0,"",F35/ABS(D35))</f>
        <v>-0.8352033725203856</v>
      </c>
      <c r="H35" s="10" t="str">
        <f>IF(ABS(F35)&gt;=Threshold,"Yes","No")</f>
        <v>No</v>
      </c>
      <c r="I35" s="10" t="s">
        <v>18</v>
      </c>
    </row>
    <row r="36" spans="1:9">
      <c r="A36" s="10" t="s">
        <v>206</v>
      </c>
      <c r="B36" s="10" t="s">
        <v>67</v>
      </c>
      <c r="C36" s="10" t="s">
        <v>207</v>
      </c>
      <c r="D36" s="12">
        <f>SUMPRODUCT((Data!$A$2:$A$666=$A36)*(Data!$B$2:$B$666=$B36)*(Data!$C$2:$C$666=$C36)*(ISNUMBER(MATCH(Data!$D$2:$D$666,BaseMonths,0)))*Data!$E$2:$E$666)</f>
        <v>178532.95</v>
      </c>
      <c r="E36" s="12">
        <f>SUMPRODUCT((Data!$A$2:$A$666=$A36)*(Data!$B$2:$B$666=$B36)*(Data!$C$2:$C$666=$C36)*(ISNUMBER(MATCH(Data!$D$2:$D$666,CurrentMonths,0)))*Data!$E$2:$E$666)</f>
        <v>42450.5</v>
      </c>
      <c r="F36" s="12">
        <f>E36-D36</f>
        <v>-136082.45</v>
      </c>
      <c r="G36" s="13">
        <f>IF(D36=0,"",F36/ABS(D36))</f>
        <v>-0.7622259644508199</v>
      </c>
      <c r="H36" s="10" t="str">
        <f>IF(ABS(F36)&gt;=Threshold,"Yes","No")</f>
        <v>No</v>
      </c>
      <c r="I36" s="10" t="s">
        <v>18</v>
      </c>
    </row>
    <row r="37" spans="1:9">
      <c r="A37" s="10" t="s">
        <v>322</v>
      </c>
      <c r="B37" s="10" t="s">
        <v>55</v>
      </c>
      <c r="C37" s="10" t="s">
        <v>405</v>
      </c>
      <c r="D37" s="12">
        <f>SUMPRODUCT((Data!$A$2:$A$666=$A37)*(Data!$B$2:$B$666=$B37)*(Data!$C$2:$C$666=$C37)*(ISNUMBER(MATCH(Data!$D$2:$D$666,BaseMonths,0)))*Data!$E$2:$E$666)</f>
        <v>400953.19</v>
      </c>
      <c r="E37" s="12">
        <f>SUMPRODUCT((Data!$A$2:$A$666=$A37)*(Data!$B$2:$B$666=$B37)*(Data!$C$2:$C$666=$C37)*(ISNUMBER(MATCH(Data!$D$2:$D$666,CurrentMonths,0)))*Data!$E$2:$E$666)</f>
        <v>531613.64</v>
      </c>
      <c r="F37" s="12">
        <f>E37-D37</f>
        <v>130660.45</v>
      </c>
      <c r="G37" s="13">
        <f>IF(D37=0,"",F37/ABS(D37))</f>
        <v>0.3258745740369343</v>
      </c>
      <c r="H37" s="10" t="str">
        <f>IF(ABS(F37)&gt;=Threshold,"Yes","No")</f>
        <v>No</v>
      </c>
      <c r="I37" s="10" t="s">
        <v>18</v>
      </c>
    </row>
    <row r="38" spans="1:9">
      <c r="A38" s="10" t="s">
        <v>33</v>
      </c>
      <c r="B38" s="10" t="s">
        <v>34</v>
      </c>
      <c r="C38" s="10" t="s">
        <v>48</v>
      </c>
      <c r="D38" s="12">
        <f>SUMPRODUCT((Data!$A$2:$A$666=$A38)*(Data!$B$2:$B$666=$B38)*(Data!$C$2:$C$666=$C38)*(ISNUMBER(MATCH(Data!$D$2:$D$666,BaseMonths,0)))*Data!$E$2:$E$666)</f>
        <v>31722.44</v>
      </c>
      <c r="E38" s="12">
        <f>SUMPRODUCT((Data!$A$2:$A$666=$A38)*(Data!$B$2:$B$666=$B38)*(Data!$C$2:$C$666=$C38)*(ISNUMBER(MATCH(Data!$D$2:$D$666,CurrentMonths,0)))*Data!$E$2:$E$666)</f>
        <v>155345.57</v>
      </c>
      <c r="F38" s="12">
        <f>E38-D38</f>
        <v>123623.13</v>
      </c>
      <c r="G38" s="13">
        <f>IF(D38=0,"",F38/ABS(D38))</f>
        <v>3.897024629883452</v>
      </c>
      <c r="H38" s="10" t="str">
        <f>IF(ABS(F38)&gt;=Threshold,"Yes","No")</f>
        <v>No</v>
      </c>
      <c r="I38" s="10" t="s">
        <v>18</v>
      </c>
    </row>
    <row r="39" spans="1:9">
      <c r="A39" s="10" t="s">
        <v>213</v>
      </c>
      <c r="B39" s="10" t="s">
        <v>67</v>
      </c>
      <c r="C39" s="10" t="s">
        <v>214</v>
      </c>
      <c r="D39" s="12">
        <f>SUMPRODUCT((Data!$A$2:$A$666=$A39)*(Data!$B$2:$B$666=$B39)*(Data!$C$2:$C$666=$C39)*(ISNUMBER(MATCH(Data!$D$2:$D$666,BaseMonths,0)))*Data!$E$2:$E$666)</f>
        <v>211221.54</v>
      </c>
      <c r="E39" s="12">
        <f>SUMPRODUCT((Data!$A$2:$A$666=$A39)*(Data!$B$2:$B$666=$B39)*(Data!$C$2:$C$666=$C39)*(ISNUMBER(MATCH(Data!$D$2:$D$666,CurrentMonths,0)))*Data!$E$2:$E$666)</f>
        <v>90030.06</v>
      </c>
      <c r="F39" s="12">
        <f>E39-D39</f>
        <v>-121191.48</v>
      </c>
      <c r="G39" s="13">
        <f>IF(D39=0,"",F39/ABS(D39))</f>
        <v>-0.573764777967247</v>
      </c>
      <c r="H39" s="10" t="str">
        <f>IF(ABS(F39)&gt;=Threshold,"Yes","No")</f>
        <v>No</v>
      </c>
      <c r="I39" s="10" t="s">
        <v>18</v>
      </c>
    </row>
    <row r="40" spans="1:9">
      <c r="A40" s="10" t="s">
        <v>94</v>
      </c>
      <c r="B40" s="10" t="s">
        <v>34</v>
      </c>
      <c r="C40" s="10" t="s">
        <v>98</v>
      </c>
      <c r="D40" s="12">
        <f>SUMPRODUCT((Data!$A$2:$A$666=$A40)*(Data!$B$2:$B$666=$B40)*(Data!$C$2:$C$666=$C40)*(ISNUMBER(MATCH(Data!$D$2:$D$666,BaseMonths,0)))*Data!$E$2:$E$666)</f>
        <v>104534.12</v>
      </c>
      <c r="E40" s="12">
        <f>SUMPRODUCT((Data!$A$2:$A$666=$A40)*(Data!$B$2:$B$666=$B40)*(Data!$C$2:$C$666=$C40)*(ISNUMBER(MATCH(Data!$D$2:$D$666,CurrentMonths,0)))*Data!$E$2:$E$666)</f>
        <v>224440.22</v>
      </c>
      <c r="F40" s="12">
        <f>E40-D40</f>
        <v>119906.1</v>
      </c>
      <c r="G40" s="13">
        <f>IF(D40=0,"",F40/ABS(D40))</f>
        <v>1.1470522734586566</v>
      </c>
      <c r="H40" s="10" t="str">
        <f>IF(ABS(F40)&gt;=Threshold,"Yes","No")</f>
        <v>No</v>
      </c>
      <c r="I40" s="10" t="s">
        <v>18</v>
      </c>
    </row>
    <row r="41" spans="1:9">
      <c r="A41" s="10" t="s">
        <v>213</v>
      </c>
      <c r="B41" s="10" t="s">
        <v>67</v>
      </c>
      <c r="C41" s="10" t="s">
        <v>219</v>
      </c>
      <c r="D41" s="12">
        <f>SUMPRODUCT((Data!$A$2:$A$666=$A41)*(Data!$B$2:$B$666=$B41)*(Data!$C$2:$C$666=$C41)*(ISNUMBER(MATCH(Data!$D$2:$D$666,BaseMonths,0)))*Data!$E$2:$E$666)</f>
        <v>227352.1</v>
      </c>
      <c r="E41" s="12">
        <f>SUMPRODUCT((Data!$A$2:$A$666=$A41)*(Data!$B$2:$B$666=$B41)*(Data!$C$2:$C$666=$C41)*(ISNUMBER(MATCH(Data!$D$2:$D$666,CurrentMonths,0)))*Data!$E$2:$E$666)</f>
        <v>111134.87</v>
      </c>
      <c r="F41" s="12">
        <f>E41-D41</f>
        <v>-116217.23</v>
      </c>
      <c r="G41" s="13">
        <f>IF(D41=0,"",F41/ABS(D41))</f>
        <v>-0.5111772884437839</v>
      </c>
      <c r="H41" s="10" t="str">
        <f>IF(ABS(F41)&gt;=Threshold,"Yes","No")</f>
        <v>No</v>
      </c>
      <c r="I41" s="10" t="s">
        <v>18</v>
      </c>
    </row>
    <row r="42" spans="1:9">
      <c r="A42" s="10" t="s">
        <v>213</v>
      </c>
      <c r="B42" s="10" t="s">
        <v>67</v>
      </c>
      <c r="C42" s="10" t="s">
        <v>222</v>
      </c>
      <c r="D42" s="12">
        <f>SUMPRODUCT((Data!$A$2:$A$666=$A42)*(Data!$B$2:$B$666=$B42)*(Data!$C$2:$C$666=$C42)*(ISNUMBER(MATCH(Data!$D$2:$D$666,BaseMonths,0)))*Data!$E$2:$E$666)</f>
        <v>164862.59</v>
      </c>
      <c r="E42" s="12">
        <f>SUMPRODUCT((Data!$A$2:$A$666=$A42)*(Data!$B$2:$B$666=$B42)*(Data!$C$2:$C$666=$C42)*(ISNUMBER(MATCH(Data!$D$2:$D$666,CurrentMonths,0)))*Data!$E$2:$E$666)</f>
        <v>51774.3</v>
      </c>
      <c r="F42" s="12">
        <f>E42-D42</f>
        <v>-113088.29</v>
      </c>
      <c r="G42" s="13">
        <f>IF(D42=0,"",F42/ABS(D42))</f>
        <v>-0.685954830625917</v>
      </c>
      <c r="H42" s="10" t="str">
        <f>IF(ABS(F42)&gt;=Threshold,"Yes","No")</f>
        <v>No</v>
      </c>
      <c r="I42" s="10" t="s">
        <v>18</v>
      </c>
    </row>
    <row r="43" spans="1:9">
      <c r="A43" s="10" t="s">
        <v>322</v>
      </c>
      <c r="B43" s="10" t="s">
        <v>55</v>
      </c>
      <c r="C43" s="10" t="s">
        <v>358</v>
      </c>
      <c r="D43" s="12">
        <f>SUMPRODUCT((Data!$A$2:$A$666=$A43)*(Data!$B$2:$B$666=$B43)*(Data!$C$2:$C$666=$C43)*(ISNUMBER(MATCH(Data!$D$2:$D$666,BaseMonths,0)))*Data!$E$2:$E$666)</f>
        <v>36851.84</v>
      </c>
      <c r="E43" s="12">
        <f>SUMPRODUCT((Data!$A$2:$A$666=$A43)*(Data!$B$2:$B$666=$B43)*(Data!$C$2:$C$666=$C43)*(ISNUMBER(MATCH(Data!$D$2:$D$666,CurrentMonths,0)))*Data!$E$2:$E$666)</f>
        <v>145137.07</v>
      </c>
      <c r="F43" s="12">
        <f>E43-D43</f>
        <v>108285.23</v>
      </c>
      <c r="G43" s="13">
        <f>IF(D43=0,"",F43/ABS(D43))</f>
        <v>2.9383941208905715</v>
      </c>
      <c r="H43" s="10" t="str">
        <f>IF(ABS(F43)&gt;=Threshold,"Yes","No")</f>
        <v>No</v>
      </c>
      <c r="I43" s="10" t="s">
        <v>18</v>
      </c>
    </row>
    <row r="44" spans="1:9">
      <c r="A44" s="10" t="s">
        <v>229</v>
      </c>
      <c r="B44" s="10" t="s">
        <v>67</v>
      </c>
      <c r="C44" s="10" t="s">
        <v>240</v>
      </c>
      <c r="D44" s="12">
        <f>SUMPRODUCT((Data!$A$2:$A$666=$A44)*(Data!$B$2:$B$666=$B44)*(Data!$C$2:$C$666=$C44)*(ISNUMBER(MATCH(Data!$D$2:$D$666,BaseMonths,0)))*Data!$E$2:$E$666)</f>
        <v>113998.35</v>
      </c>
      <c r="E44" s="12">
        <f>SUMPRODUCT((Data!$A$2:$A$666=$A44)*(Data!$B$2:$B$666=$B44)*(Data!$C$2:$C$666=$C44)*(ISNUMBER(MATCH(Data!$D$2:$D$666,CurrentMonths,0)))*Data!$E$2:$E$666)</f>
        <v>9541.79</v>
      </c>
      <c r="F44" s="12">
        <f>E44-D44</f>
        <v>-104456.56</v>
      </c>
      <c r="G44" s="13">
        <f>IF(D44=0,"",F44/ABS(D44))</f>
        <v>-0.9162988762556651</v>
      </c>
      <c r="H44" s="10" t="str">
        <f>IF(ABS(F44)&gt;=Threshold,"Yes","No")</f>
        <v>No</v>
      </c>
      <c r="I44" s="10" t="s">
        <v>18</v>
      </c>
    </row>
    <row r="45" spans="1:9">
      <c r="A45" s="10" t="s">
        <v>88</v>
      </c>
      <c r="B45" s="10" t="s">
        <v>55</v>
      </c>
      <c r="C45" s="10" t="s">
        <v>91</v>
      </c>
      <c r="D45" s="12">
        <f>SUMPRODUCT((Data!$A$2:$A$666=$A45)*(Data!$B$2:$B$666=$B45)*(Data!$C$2:$C$666=$C45)*(ISNUMBER(MATCH(Data!$D$2:$D$666,BaseMonths,0)))*Data!$E$2:$E$666)</f>
        <v>66132.43</v>
      </c>
      <c r="E45" s="12">
        <f>SUMPRODUCT((Data!$A$2:$A$666=$A45)*(Data!$B$2:$B$666=$B45)*(Data!$C$2:$C$666=$C45)*(ISNUMBER(MATCH(Data!$D$2:$D$666,CurrentMonths,0)))*Data!$E$2:$E$666)</f>
        <v>169214.13</v>
      </c>
      <c r="F45" s="12">
        <f>E45-D45</f>
        <v>103081.7</v>
      </c>
      <c r="G45" s="13">
        <f>IF(D45=0,"",F45/ABS(D45))</f>
        <v>1.558716351417905</v>
      </c>
      <c r="H45" s="10" t="str">
        <f>IF(ABS(F45)&gt;=Threshold,"Yes","No")</f>
        <v>No</v>
      </c>
      <c r="I45" s="10" t="s">
        <v>18</v>
      </c>
    </row>
    <row r="46" spans="1:9">
      <c r="A46" s="10" t="s">
        <v>322</v>
      </c>
      <c r="B46" s="10" t="s">
        <v>55</v>
      </c>
      <c r="C46" s="10" t="s">
        <v>368</v>
      </c>
      <c r="D46" s="12">
        <f>SUMPRODUCT((Data!$A$2:$A$666=$A46)*(Data!$B$2:$B$666=$B46)*(Data!$C$2:$C$666=$C46)*(ISNUMBER(MATCH(Data!$D$2:$D$666,BaseMonths,0)))*Data!$E$2:$E$666)</f>
        <v>36800.32</v>
      </c>
      <c r="E46" s="12">
        <f>SUMPRODUCT((Data!$A$2:$A$666=$A46)*(Data!$B$2:$B$666=$B46)*(Data!$C$2:$C$666=$C46)*(ISNUMBER(MATCH(Data!$D$2:$D$666,CurrentMonths,0)))*Data!$E$2:$E$666)</f>
        <v>139562.44</v>
      </c>
      <c r="F46" s="12">
        <f>E46-D46</f>
        <v>102762.12</v>
      </c>
      <c r="G46" s="13">
        <f>IF(D46=0,"",F46/ABS(D46))</f>
        <v>2.792424631090164</v>
      </c>
      <c r="H46" s="10" t="str">
        <f>IF(ABS(F46)&gt;=Threshold,"Yes","No")</f>
        <v>No</v>
      </c>
      <c r="I46" s="10" t="s">
        <v>18</v>
      </c>
    </row>
    <row r="47" spans="1:9">
      <c r="A47" s="10" t="s">
        <v>33</v>
      </c>
      <c r="B47" s="10" t="s">
        <v>34</v>
      </c>
      <c r="C47" s="10" t="s">
        <v>40</v>
      </c>
      <c r="D47" s="12">
        <f>SUMPRODUCT((Data!$A$2:$A$666=$A47)*(Data!$B$2:$B$666=$B47)*(Data!$C$2:$C$666=$C47)*(ISNUMBER(MATCH(Data!$D$2:$D$666,BaseMonths,0)))*Data!$E$2:$E$666)</f>
        <v>41692.75</v>
      </c>
      <c r="E47" s="12">
        <f>SUMPRODUCT((Data!$A$2:$A$666=$A47)*(Data!$B$2:$B$666=$B47)*(Data!$C$2:$C$666=$C47)*(ISNUMBER(MATCH(Data!$D$2:$D$666,CurrentMonths,0)))*Data!$E$2:$E$666)</f>
        <v>142908.55</v>
      </c>
      <c r="F47" s="12">
        <f>E47-D47</f>
        <v>101215.8</v>
      </c>
      <c r="G47" s="13">
        <f>IF(D47=0,"",F47/ABS(D47))</f>
        <v>2.4276594851622884</v>
      </c>
      <c r="H47" s="10" t="str">
        <f>IF(ABS(F47)&gt;=Threshold,"Yes","No")</f>
        <v>No</v>
      </c>
      <c r="I47" s="10" t="s">
        <v>18</v>
      </c>
    </row>
    <row r="48" spans="1:9">
      <c r="A48" s="10" t="s">
        <v>104</v>
      </c>
      <c r="B48" s="10" t="s">
        <v>67</v>
      </c>
      <c r="C48" s="10" t="s">
        <v>109</v>
      </c>
      <c r="D48" s="12">
        <f>SUMPRODUCT((Data!$A$2:$A$666=$A48)*(Data!$B$2:$B$666=$B48)*(Data!$C$2:$C$666=$C48)*(ISNUMBER(MATCH(Data!$D$2:$D$666,BaseMonths,0)))*Data!$E$2:$E$666)</f>
        <v>143616.32</v>
      </c>
      <c r="E48" s="12">
        <f>SUMPRODUCT((Data!$A$2:$A$666=$A48)*(Data!$B$2:$B$666=$B48)*(Data!$C$2:$C$666=$C48)*(ISNUMBER(MATCH(Data!$D$2:$D$666,CurrentMonths,0)))*Data!$E$2:$E$666)</f>
        <v>43546.34</v>
      </c>
      <c r="F48" s="12">
        <f>E48-D48</f>
        <v>-100069.98</v>
      </c>
      <c r="G48" s="13">
        <f>IF(D48=0,"",F48/ABS(D48))</f>
        <v>-0.6967869668293964</v>
      </c>
      <c r="H48" s="10" t="str">
        <f>IF(ABS(F48)&gt;=Threshold,"Yes","No")</f>
        <v>No</v>
      </c>
      <c r="I48" s="10" t="s">
        <v>18</v>
      </c>
    </row>
    <row r="49" spans="1:9">
      <c r="A49" s="10" t="s">
        <v>289</v>
      </c>
      <c r="B49" s="10" t="s">
        <v>67</v>
      </c>
      <c r="C49" s="10" t="s">
        <v>295</v>
      </c>
      <c r="D49" s="12">
        <f>SUMPRODUCT((Data!$A$2:$A$666=$A49)*(Data!$B$2:$B$666=$B49)*(Data!$C$2:$C$666=$C49)*(ISNUMBER(MATCH(Data!$D$2:$D$666,BaseMonths,0)))*Data!$E$2:$E$666)</f>
        <v>184313.86</v>
      </c>
      <c r="E49" s="12">
        <f>SUMPRODUCT((Data!$A$2:$A$666=$A49)*(Data!$B$2:$B$666=$B49)*(Data!$C$2:$C$666=$C49)*(ISNUMBER(MATCH(Data!$D$2:$D$666,CurrentMonths,0)))*Data!$E$2:$E$666)</f>
        <v>85808.56</v>
      </c>
      <c r="F49" s="12">
        <f>E49-D49</f>
        <v>-98505.3</v>
      </c>
      <c r="G49" s="13">
        <f>IF(D49=0,"",F49/ABS(D49))</f>
        <v>-0.5344432589063026</v>
      </c>
      <c r="H49" s="10" t="str">
        <f>IF(ABS(F49)&gt;=Threshold,"Yes","No")</f>
        <v>No</v>
      </c>
      <c r="I49" s="10" t="s">
        <v>18</v>
      </c>
    </row>
    <row r="50" spans="1:9">
      <c r="A50" s="10" t="s">
        <v>322</v>
      </c>
      <c r="B50" s="10" t="s">
        <v>55</v>
      </c>
      <c r="C50" s="10" t="s">
        <v>376</v>
      </c>
      <c r="D50" s="12">
        <f>SUMPRODUCT((Data!$A$2:$A$666=$A50)*(Data!$B$2:$B$666=$B50)*(Data!$C$2:$C$666=$C50)*(ISNUMBER(MATCH(Data!$D$2:$D$666,BaseMonths,0)))*Data!$E$2:$E$666)</f>
        <v>4866.5</v>
      </c>
      <c r="E50" s="12">
        <f>SUMPRODUCT((Data!$A$2:$A$666=$A50)*(Data!$B$2:$B$666=$B50)*(Data!$C$2:$C$666=$C50)*(ISNUMBER(MATCH(Data!$D$2:$D$666,CurrentMonths,0)))*Data!$E$2:$E$666)</f>
        <v>96484.05</v>
      </c>
      <c r="F50" s="12">
        <f>E50-D50</f>
        <v>91617.55</v>
      </c>
      <c r="G50" s="13">
        <f>IF(D50=0,"",F50/ABS(D50))</f>
        <v>18.826168704407685</v>
      </c>
      <c r="H50" s="10" t="str">
        <f>IF(ABS(F50)&gt;=Threshold,"Yes","No")</f>
        <v>No</v>
      </c>
      <c r="I50" s="10" t="s">
        <v>18</v>
      </c>
    </row>
    <row r="51" spans="1:9">
      <c r="A51" s="10" t="s">
        <v>54</v>
      </c>
      <c r="B51" s="10" t="s">
        <v>55</v>
      </c>
      <c r="C51" s="10" t="s">
        <v>64</v>
      </c>
      <c r="D51" s="12">
        <f>SUMPRODUCT((Data!$A$2:$A$666=$A51)*(Data!$B$2:$B$666=$B51)*(Data!$C$2:$C$666=$C51)*(ISNUMBER(MATCH(Data!$D$2:$D$666,BaseMonths,0)))*Data!$E$2:$E$666)</f>
        <v>121381.14</v>
      </c>
      <c r="E51" s="12">
        <f>SUMPRODUCT((Data!$A$2:$A$666=$A51)*(Data!$B$2:$B$666=$B51)*(Data!$C$2:$C$666=$C51)*(ISNUMBER(MATCH(Data!$D$2:$D$666,CurrentMonths,0)))*Data!$E$2:$E$666)</f>
        <v>212374.16</v>
      </c>
      <c r="F51" s="12">
        <f>E51-D51</f>
        <v>90993.02</v>
      </c>
      <c r="G51" s="13">
        <f>IF(D51=0,"",F51/ABS(D51))</f>
        <v>0.7496471033308799</v>
      </c>
      <c r="H51" s="10" t="str">
        <f>IF(ABS(F51)&gt;=Threshold,"Yes","No")</f>
        <v>No</v>
      </c>
      <c r="I51" s="10" t="s">
        <v>18</v>
      </c>
    </row>
    <row r="52" spans="1:9">
      <c r="A52" s="10" t="s">
        <v>33</v>
      </c>
      <c r="B52" s="10" t="s">
        <v>34</v>
      </c>
      <c r="C52" s="10" t="s">
        <v>49</v>
      </c>
      <c r="D52" s="12">
        <f>SUMPRODUCT((Data!$A$2:$A$666=$A52)*(Data!$B$2:$B$666=$B52)*(Data!$C$2:$C$666=$C52)*(ISNUMBER(MATCH(Data!$D$2:$D$666,BaseMonths,0)))*Data!$E$2:$E$666)</f>
        <v>30644.1</v>
      </c>
      <c r="E52" s="12">
        <f>SUMPRODUCT((Data!$A$2:$A$666=$A52)*(Data!$B$2:$B$666=$B52)*(Data!$C$2:$C$666=$C52)*(ISNUMBER(MATCH(Data!$D$2:$D$666,CurrentMonths,0)))*Data!$E$2:$E$666)</f>
        <v>119141.26</v>
      </c>
      <c r="F52" s="12">
        <f>E52-D52</f>
        <v>88497.16</v>
      </c>
      <c r="G52" s="13">
        <f>IF(D52=0,"",F52/ABS(D52))</f>
        <v>2.887902075766624</v>
      </c>
      <c r="H52" s="10" t="str">
        <f>IF(ABS(F52)&gt;=Threshold,"Yes","No")</f>
        <v>No</v>
      </c>
      <c r="I52" s="10" t="s">
        <v>18</v>
      </c>
    </row>
    <row r="53" spans="1:9">
      <c r="A53" s="10" t="s">
        <v>322</v>
      </c>
      <c r="B53" s="10" t="s">
        <v>55</v>
      </c>
      <c r="C53" s="10" t="s">
        <v>335</v>
      </c>
      <c r="D53" s="12">
        <f>SUMPRODUCT((Data!$A$2:$A$666=$A53)*(Data!$B$2:$B$666=$B53)*(Data!$C$2:$C$666=$C53)*(ISNUMBER(MATCH(Data!$D$2:$D$666,BaseMonths,0)))*Data!$E$2:$E$666)</f>
        <v>138210.81</v>
      </c>
      <c r="E53" s="12">
        <f>SUMPRODUCT((Data!$A$2:$A$666=$A53)*(Data!$B$2:$B$666=$B53)*(Data!$C$2:$C$666=$C53)*(ISNUMBER(MATCH(Data!$D$2:$D$666,CurrentMonths,0)))*Data!$E$2:$E$666)</f>
        <v>50939.16</v>
      </c>
      <c r="F53" s="12">
        <f>E53-D53</f>
        <v>-87271.65</v>
      </c>
      <c r="G53" s="13">
        <f>IF(D53=0,"",F53/ABS(D53))</f>
        <v>-0.6314386696670108</v>
      </c>
      <c r="H53" s="10" t="str">
        <f>IF(ABS(F53)&gt;=Threshold,"Yes","No")</f>
        <v>No</v>
      </c>
      <c r="I53" s="10" t="s">
        <v>18</v>
      </c>
    </row>
    <row r="54" spans="1:9">
      <c r="A54" s="10" t="s">
        <v>111</v>
      </c>
      <c r="B54" s="10" t="s">
        <v>67</v>
      </c>
      <c r="C54" s="10" t="s">
        <v>121</v>
      </c>
      <c r="D54" s="12">
        <f>SUMPRODUCT((Data!$A$2:$A$666=$A54)*(Data!$B$2:$B$666=$B54)*(Data!$C$2:$C$666=$C54)*(ISNUMBER(MATCH(Data!$D$2:$D$666,BaseMonths,0)))*Data!$E$2:$E$666)</f>
        <v>101590.42</v>
      </c>
      <c r="E54" s="12">
        <f>SUMPRODUCT((Data!$A$2:$A$666=$A54)*(Data!$B$2:$B$666=$B54)*(Data!$C$2:$C$666=$C54)*(ISNUMBER(MATCH(Data!$D$2:$D$666,CurrentMonths,0)))*Data!$E$2:$E$666)</f>
        <v>14798.25</v>
      </c>
      <c r="F54" s="12">
        <f>E54-D54</f>
        <v>-86792.17</v>
      </c>
      <c r="G54" s="13">
        <f>IF(D54=0,"",F54/ABS(D54))</f>
        <v>-0.8543341980474143</v>
      </c>
      <c r="H54" s="10" t="str">
        <f>IF(ABS(F54)&gt;=Threshold,"Yes","No")</f>
        <v>No</v>
      </c>
      <c r="I54" s="10" t="s">
        <v>18</v>
      </c>
    </row>
    <row r="55" spans="1:9">
      <c r="A55" s="10" t="s">
        <v>305</v>
      </c>
      <c r="B55" s="10" t="s">
        <v>67</v>
      </c>
      <c r="C55" s="10" t="s">
        <v>315</v>
      </c>
      <c r="D55" s="12">
        <f>SUMPRODUCT((Data!$A$2:$A$666=$A55)*(Data!$B$2:$B$666=$B55)*(Data!$C$2:$C$666=$C55)*(ISNUMBER(MATCH(Data!$D$2:$D$666,BaseMonths,0)))*Data!$E$2:$E$666)</f>
        <v>211256.66</v>
      </c>
      <c r="E55" s="12">
        <f>SUMPRODUCT((Data!$A$2:$A$666=$A55)*(Data!$B$2:$B$666=$B55)*(Data!$C$2:$C$666=$C55)*(ISNUMBER(MATCH(Data!$D$2:$D$666,CurrentMonths,0)))*Data!$E$2:$E$666)</f>
        <v>297279.36</v>
      </c>
      <c r="F55" s="12">
        <f>E55-D55</f>
        <v>86022.7</v>
      </c>
      <c r="G55" s="13">
        <f>IF(D55=0,"",F55/ABS(D55))</f>
        <v>0.40719520984569196</v>
      </c>
      <c r="H55" s="10" t="str">
        <f>IF(ABS(F55)&gt;=Threshold,"Yes","No")</f>
        <v>No</v>
      </c>
      <c r="I55" s="10" t="s">
        <v>18</v>
      </c>
    </row>
    <row r="56" spans="1:9">
      <c r="A56" s="10" t="s">
        <v>123</v>
      </c>
      <c r="B56" s="10" t="s">
        <v>67</v>
      </c>
      <c r="C56" s="10" t="s">
        <v>129</v>
      </c>
      <c r="D56" s="12">
        <f>SUMPRODUCT((Data!$A$2:$A$666=$A56)*(Data!$B$2:$B$666=$B56)*(Data!$C$2:$C$666=$C56)*(ISNUMBER(MATCH(Data!$D$2:$D$666,BaseMonths,0)))*Data!$E$2:$E$666)</f>
        <v>243678.81</v>
      </c>
      <c r="E56" s="12">
        <f>SUMPRODUCT((Data!$A$2:$A$666=$A56)*(Data!$B$2:$B$666=$B56)*(Data!$C$2:$C$666=$C56)*(ISNUMBER(MATCH(Data!$D$2:$D$666,CurrentMonths,0)))*Data!$E$2:$E$666)</f>
        <v>328291.76</v>
      </c>
      <c r="F56" s="12">
        <f>E56-D56</f>
        <v>84612.95</v>
      </c>
      <c r="G56" s="13">
        <f>IF(D56=0,"",F56/ABS(D56))</f>
        <v>0.3472314642376988</v>
      </c>
      <c r="H56" s="10" t="str">
        <f>IF(ABS(F56)&gt;=Threshold,"Yes","No")</f>
        <v>No</v>
      </c>
      <c r="I56" s="10" t="s">
        <v>18</v>
      </c>
    </row>
    <row r="57" spans="1:9">
      <c r="A57" s="10" t="s">
        <v>144</v>
      </c>
      <c r="B57" s="10" t="s">
        <v>34</v>
      </c>
      <c r="C57" s="10" t="s">
        <v>150</v>
      </c>
      <c r="D57" s="12">
        <f>SUMPRODUCT((Data!$A$2:$A$666=$A57)*(Data!$B$2:$B$666=$B57)*(Data!$C$2:$C$666=$C57)*(ISNUMBER(MATCH(Data!$D$2:$D$666,BaseMonths,0)))*Data!$E$2:$E$666)</f>
        <v>92665.94</v>
      </c>
      <c r="E57" s="12">
        <f>SUMPRODUCT((Data!$A$2:$A$666=$A57)*(Data!$B$2:$B$666=$B57)*(Data!$C$2:$C$666=$C57)*(ISNUMBER(MATCH(Data!$D$2:$D$666,CurrentMonths,0)))*Data!$E$2:$E$666)</f>
        <v>11093.12</v>
      </c>
      <c r="F57" s="12">
        <f>E57-D57</f>
        <v>-81572.82</v>
      </c>
      <c r="G57" s="13">
        <f>IF(D57=0,"",F57/ABS(D57))</f>
        <v>-0.8802891332025554</v>
      </c>
      <c r="H57" s="10" t="str">
        <f>IF(ABS(F57)&gt;=Threshold,"Yes","No")</f>
        <v>No</v>
      </c>
      <c r="I57" s="10" t="s">
        <v>18</v>
      </c>
    </row>
    <row r="58" spans="1:9">
      <c r="A58" s="10" t="s">
        <v>322</v>
      </c>
      <c r="B58" s="10" t="s">
        <v>55</v>
      </c>
      <c r="C58" s="10" t="s">
        <v>383</v>
      </c>
      <c r="D58" s="12">
        <f>SUMPRODUCT((Data!$A$2:$A$666=$A58)*(Data!$B$2:$B$666=$B58)*(Data!$C$2:$C$666=$C58)*(ISNUMBER(MATCH(Data!$D$2:$D$666,BaseMonths,0)))*Data!$E$2:$E$666)</f>
        <v>294818.3</v>
      </c>
      <c r="E58" s="12">
        <f>SUMPRODUCT((Data!$A$2:$A$666=$A58)*(Data!$B$2:$B$666=$B58)*(Data!$C$2:$C$666=$C58)*(ISNUMBER(MATCH(Data!$D$2:$D$666,CurrentMonths,0)))*Data!$E$2:$E$666)</f>
        <v>214170.75</v>
      </c>
      <c r="F58" s="12">
        <f>E58-D58</f>
        <v>-80647.55</v>
      </c>
      <c r="G58" s="13">
        <f>IF(D58=0,"",F58/ABS(D58))</f>
        <v>-0.27355001368639603</v>
      </c>
      <c r="H58" s="10" t="str">
        <f>IF(ABS(F58)&gt;=Threshold,"Yes","No")</f>
        <v>No</v>
      </c>
      <c r="I58" s="10" t="s">
        <v>18</v>
      </c>
    </row>
    <row r="59" spans="1:9">
      <c r="A59" s="10" t="s">
        <v>322</v>
      </c>
      <c r="B59" s="10" t="s">
        <v>55</v>
      </c>
      <c r="C59" s="10" t="s">
        <v>370</v>
      </c>
      <c r="D59" s="12">
        <f>SUMPRODUCT((Data!$A$2:$A$666=$A59)*(Data!$B$2:$B$666=$B59)*(Data!$C$2:$C$666=$C59)*(ISNUMBER(MATCH(Data!$D$2:$D$666,BaseMonths,0)))*Data!$E$2:$E$666)</f>
        <v>774045.08</v>
      </c>
      <c r="E59" s="12">
        <f>SUMPRODUCT((Data!$A$2:$A$666=$A59)*(Data!$B$2:$B$666=$B59)*(Data!$C$2:$C$666=$C59)*(ISNUMBER(MATCH(Data!$D$2:$D$666,CurrentMonths,0)))*Data!$E$2:$E$666)</f>
        <v>695924.93</v>
      </c>
      <c r="F59" s="12">
        <f>E59-D59</f>
        <v>-78120.15</v>
      </c>
      <c r="G59" s="13">
        <f>IF(D59=0,"",F59/ABS(D59))</f>
        <v>-0.10092454821881951</v>
      </c>
      <c r="H59" s="10" t="str">
        <f>IF(ABS(F59)&gt;=Threshold,"Yes","No")</f>
        <v>No</v>
      </c>
      <c r="I59" s="10" t="s">
        <v>18</v>
      </c>
    </row>
    <row r="60" spans="1:9">
      <c r="A60" s="10" t="s">
        <v>276</v>
      </c>
      <c r="B60" s="10" t="s">
        <v>67</v>
      </c>
      <c r="C60" s="10" t="s">
        <v>281</v>
      </c>
      <c r="D60" s="12">
        <f>SUMPRODUCT((Data!$A$2:$A$666=$A60)*(Data!$B$2:$B$666=$B60)*(Data!$C$2:$C$666=$C60)*(ISNUMBER(MATCH(Data!$D$2:$D$666,BaseMonths,0)))*Data!$E$2:$E$666)</f>
        <v>315174.08</v>
      </c>
      <c r="E60" s="12">
        <f>SUMPRODUCT((Data!$A$2:$A$666=$A60)*(Data!$B$2:$B$666=$B60)*(Data!$C$2:$C$666=$C60)*(ISNUMBER(MATCH(Data!$D$2:$D$666,CurrentMonths,0)))*Data!$E$2:$E$666)</f>
        <v>237215.93</v>
      </c>
      <c r="F60" s="12">
        <f>E60-D60</f>
        <v>-77958.15</v>
      </c>
      <c r="G60" s="13">
        <f>IF(D60=0,"",F60/ABS(D60))</f>
        <v>-0.2473494965068193</v>
      </c>
      <c r="H60" s="10" t="str">
        <f>IF(ABS(F60)&gt;=Threshold,"Yes","No")</f>
        <v>No</v>
      </c>
      <c r="I60" s="10" t="s">
        <v>18</v>
      </c>
    </row>
    <row r="61" spans="1:9">
      <c r="A61" s="10" t="s">
        <v>33</v>
      </c>
      <c r="B61" s="10" t="s">
        <v>34</v>
      </c>
      <c r="C61" s="10" t="s">
        <v>50</v>
      </c>
      <c r="D61" s="12">
        <f>SUMPRODUCT((Data!$A$2:$A$666=$A61)*(Data!$B$2:$B$666=$B61)*(Data!$C$2:$C$666=$C61)*(ISNUMBER(MATCH(Data!$D$2:$D$666,BaseMonths,0)))*Data!$E$2:$E$666)</f>
        <v>121342.16</v>
      </c>
      <c r="E61" s="12">
        <f>SUMPRODUCT((Data!$A$2:$A$666=$A61)*(Data!$B$2:$B$666=$B61)*(Data!$C$2:$C$666=$C61)*(ISNUMBER(MATCH(Data!$D$2:$D$666,CurrentMonths,0)))*Data!$E$2:$E$666)</f>
        <v>198778.39</v>
      </c>
      <c r="F61" s="12">
        <f>E61-D61</f>
        <v>77436.23</v>
      </c>
      <c r="G61" s="13">
        <f>IF(D61=0,"",F61/ABS(D61))</f>
        <v>0.6381642621163163</v>
      </c>
      <c r="H61" s="10" t="str">
        <f>IF(ABS(F61)&gt;=Threshold,"Yes","No")</f>
        <v>No</v>
      </c>
      <c r="I61" s="10" t="s">
        <v>18</v>
      </c>
    </row>
    <row r="62" spans="1:9">
      <c r="A62" s="10" t="s">
        <v>322</v>
      </c>
      <c r="B62" s="10" t="s">
        <v>55</v>
      </c>
      <c r="C62" s="10" t="s">
        <v>389</v>
      </c>
      <c r="D62" s="12">
        <f>SUMPRODUCT((Data!$A$2:$A$666=$A62)*(Data!$B$2:$B$666=$B62)*(Data!$C$2:$C$666=$C62)*(ISNUMBER(MATCH(Data!$D$2:$D$666,BaseMonths,0)))*Data!$E$2:$E$666)</f>
        <v>17665.5</v>
      </c>
      <c r="E62" s="12">
        <f>SUMPRODUCT((Data!$A$2:$A$666=$A62)*(Data!$B$2:$B$666=$B62)*(Data!$C$2:$C$666=$C62)*(ISNUMBER(MATCH(Data!$D$2:$D$666,CurrentMonths,0)))*Data!$E$2:$E$666)</f>
        <v>94978.08</v>
      </c>
      <c r="F62" s="12">
        <f>E62-D62</f>
        <v>77312.58</v>
      </c>
      <c r="G62" s="13">
        <f>IF(D62=0,"",F62/ABS(D62))</f>
        <v>4.376472785938694</v>
      </c>
      <c r="H62" s="10" t="str">
        <f>IF(ABS(F62)&gt;=Threshold,"Yes","No")</f>
        <v>No</v>
      </c>
      <c r="I62" s="10" t="s">
        <v>18</v>
      </c>
    </row>
    <row r="63" spans="1:9">
      <c r="A63" s="10" t="s">
        <v>104</v>
      </c>
      <c r="B63" s="10" t="s">
        <v>67</v>
      </c>
      <c r="C63" s="10" t="s">
        <v>110</v>
      </c>
      <c r="D63" s="12">
        <f>SUMPRODUCT((Data!$A$2:$A$666=$A63)*(Data!$B$2:$B$666=$B63)*(Data!$C$2:$C$666=$C63)*(ISNUMBER(MATCH(Data!$D$2:$D$666,BaseMonths,0)))*Data!$E$2:$E$666)</f>
        <v>117591.99</v>
      </c>
      <c r="E63" s="12">
        <f>SUMPRODUCT((Data!$A$2:$A$666=$A63)*(Data!$B$2:$B$666=$B63)*(Data!$C$2:$C$666=$C63)*(ISNUMBER(MATCH(Data!$D$2:$D$666,CurrentMonths,0)))*Data!$E$2:$E$666)</f>
        <v>40958.7</v>
      </c>
      <c r="F63" s="12">
        <f>E63-D63</f>
        <v>-76633.29</v>
      </c>
      <c r="G63" s="13">
        <f>IF(D63=0,"",F63/ABS(D63))</f>
        <v>-0.6516880103823397</v>
      </c>
      <c r="H63" s="10" t="str">
        <f>IF(ABS(F63)&gt;=Threshold,"Yes","No")</f>
        <v>No</v>
      </c>
      <c r="I63" s="10" t="s">
        <v>18</v>
      </c>
    </row>
    <row r="64" spans="1:9">
      <c r="A64" s="10" t="s">
        <v>322</v>
      </c>
      <c r="B64" s="10" t="s">
        <v>55</v>
      </c>
      <c r="C64" s="10" t="s">
        <v>352</v>
      </c>
      <c r="D64" s="12">
        <f>SUMPRODUCT((Data!$A$2:$A$666=$A64)*(Data!$B$2:$B$666=$B64)*(Data!$C$2:$C$666=$C64)*(ISNUMBER(MATCH(Data!$D$2:$D$666,BaseMonths,0)))*Data!$E$2:$E$666)</f>
        <v>69064.42</v>
      </c>
      <c r="E64" s="12">
        <f>SUMPRODUCT((Data!$A$2:$A$666=$A64)*(Data!$B$2:$B$666=$B64)*(Data!$C$2:$C$666=$C64)*(ISNUMBER(MATCH(Data!$D$2:$D$666,CurrentMonths,0)))*Data!$E$2:$E$666)</f>
        <v>144840.24</v>
      </c>
      <c r="F64" s="12">
        <f>E64-D64</f>
        <v>75775.82</v>
      </c>
      <c r="G64" s="13">
        <f>IF(D64=0,"",F64/ABS(D64))</f>
        <v>1.0971759409548363</v>
      </c>
      <c r="H64" s="10" t="str">
        <f>IF(ABS(F64)&gt;=Threshold,"Yes","No")</f>
        <v>No</v>
      </c>
      <c r="I64" s="10" t="s">
        <v>18</v>
      </c>
    </row>
    <row r="65" spans="1:9">
      <c r="A65" s="10" t="s">
        <v>181</v>
      </c>
      <c r="B65" s="10" t="s">
        <v>34</v>
      </c>
      <c r="C65" s="10" t="s">
        <v>182</v>
      </c>
      <c r="D65" s="12">
        <f>SUMPRODUCT((Data!$A$2:$A$666=$A65)*(Data!$B$2:$B$666=$B65)*(Data!$C$2:$C$666=$C65)*(ISNUMBER(MATCH(Data!$D$2:$D$666,BaseMonths,0)))*Data!$E$2:$E$666)</f>
        <v>140773.08</v>
      </c>
      <c r="E65" s="12">
        <f>SUMPRODUCT((Data!$A$2:$A$666=$A65)*(Data!$B$2:$B$666=$B65)*(Data!$C$2:$C$666=$C65)*(ISNUMBER(MATCH(Data!$D$2:$D$666,CurrentMonths,0)))*Data!$E$2:$E$666)</f>
        <v>66932.9</v>
      </c>
      <c r="F65" s="12">
        <f>E65-D65</f>
        <v>-73840.18</v>
      </c>
      <c r="G65" s="13">
        <f>IF(D65=0,"",F65/ABS(D65))</f>
        <v>-0.5245333837975272</v>
      </c>
      <c r="H65" s="10" t="str">
        <f>IF(ABS(F65)&gt;=Threshold,"Yes","No")</f>
        <v>No</v>
      </c>
      <c r="I65" s="10" t="s">
        <v>18</v>
      </c>
    </row>
    <row r="66" spans="1:9">
      <c r="A66" s="10" t="s">
        <v>322</v>
      </c>
      <c r="B66" s="10" t="s">
        <v>55</v>
      </c>
      <c r="C66" s="10" t="s">
        <v>374</v>
      </c>
      <c r="D66" s="12">
        <f>SUMPRODUCT((Data!$A$2:$A$666=$A66)*(Data!$B$2:$B$666=$B66)*(Data!$C$2:$C$666=$C66)*(ISNUMBER(MATCH(Data!$D$2:$D$666,BaseMonths,0)))*Data!$E$2:$E$666)</f>
        <v>92294.53</v>
      </c>
      <c r="E66" s="12">
        <f>SUMPRODUCT((Data!$A$2:$A$666=$A66)*(Data!$B$2:$B$666=$B66)*(Data!$C$2:$C$666=$C66)*(ISNUMBER(MATCH(Data!$D$2:$D$666,CurrentMonths,0)))*Data!$E$2:$E$666)</f>
        <v>165779.11</v>
      </c>
      <c r="F66" s="12">
        <f>E66-D66</f>
        <v>73484.58</v>
      </c>
      <c r="G66" s="13">
        <f>IF(D66=0,"",F66/ABS(D66))</f>
        <v>0.7961964809832176</v>
      </c>
      <c r="H66" s="10" t="str">
        <f>IF(ABS(F66)&gt;=Threshold,"Yes","No")</f>
        <v>No</v>
      </c>
      <c r="I66" s="10" t="s">
        <v>18</v>
      </c>
    </row>
    <row r="67" spans="1:9">
      <c r="A67" s="10" t="s">
        <v>94</v>
      </c>
      <c r="B67" s="10" t="s">
        <v>34</v>
      </c>
      <c r="C67" s="10" t="s">
        <v>97</v>
      </c>
      <c r="D67" s="12">
        <f>SUMPRODUCT((Data!$A$2:$A$666=$A67)*(Data!$B$2:$B$666=$B67)*(Data!$C$2:$C$666=$C67)*(ISNUMBER(MATCH(Data!$D$2:$D$666,BaseMonths,0)))*Data!$E$2:$E$666)</f>
        <v>123895.8</v>
      </c>
      <c r="E67" s="12">
        <f>SUMPRODUCT((Data!$A$2:$A$666=$A67)*(Data!$B$2:$B$666=$B67)*(Data!$C$2:$C$666=$C67)*(ISNUMBER(MATCH(Data!$D$2:$D$666,CurrentMonths,0)))*Data!$E$2:$E$666)</f>
        <v>53975.22</v>
      </c>
      <c r="F67" s="12">
        <f>E67-D67</f>
        <v>-69920.58</v>
      </c>
      <c r="G67" s="13">
        <f>IF(D67=0,"",F67/ABS(D67))</f>
        <v>-0.5643498811097712</v>
      </c>
      <c r="H67" s="10" t="str">
        <f>IF(ABS(F67)&gt;=Threshold,"Yes","No")</f>
        <v>No</v>
      </c>
      <c r="I67" s="10" t="s">
        <v>18</v>
      </c>
    </row>
    <row r="68" spans="1:9">
      <c r="A68" s="10" t="s">
        <v>100</v>
      </c>
      <c r="B68" s="10" t="s">
        <v>55</v>
      </c>
      <c r="C68" s="10" t="s">
        <v>102</v>
      </c>
      <c r="D68" s="12">
        <f>SUMPRODUCT((Data!$A$2:$A$666=$A68)*(Data!$B$2:$B$666=$B68)*(Data!$C$2:$C$666=$C68)*(ISNUMBER(MATCH(Data!$D$2:$D$666,BaseMonths,0)))*Data!$E$2:$E$666)</f>
        <v>86618.91</v>
      </c>
      <c r="E68" s="12">
        <f>SUMPRODUCT((Data!$A$2:$A$666=$A68)*(Data!$B$2:$B$666=$B68)*(Data!$C$2:$C$666=$C68)*(ISNUMBER(MATCH(Data!$D$2:$D$666,CurrentMonths,0)))*Data!$E$2:$E$666)</f>
        <v>16705.63</v>
      </c>
      <c r="F68" s="12">
        <f>E68-D68</f>
        <v>-69913.28</v>
      </c>
      <c r="G68" s="13">
        <f>IF(D68=0,"",F68/ABS(D68))</f>
        <v>-0.8071364555384037</v>
      </c>
      <c r="H68" s="10" t="str">
        <f>IF(ABS(F68)&gt;=Threshold,"Yes","No")</f>
        <v>No</v>
      </c>
      <c r="I68" s="10" t="s">
        <v>18</v>
      </c>
    </row>
    <row r="69" spans="1:9">
      <c r="A69" s="10" t="s">
        <v>276</v>
      </c>
      <c r="B69" s="10" t="s">
        <v>67</v>
      </c>
      <c r="C69" s="10" t="s">
        <v>278</v>
      </c>
      <c r="D69" s="12">
        <f>SUMPRODUCT((Data!$A$2:$A$666=$A69)*(Data!$B$2:$B$666=$B69)*(Data!$C$2:$C$666=$C69)*(ISNUMBER(MATCH(Data!$D$2:$D$666,BaseMonths,0)))*Data!$E$2:$E$666)</f>
        <v>88762.41</v>
      </c>
      <c r="E69" s="12">
        <f>SUMPRODUCT((Data!$A$2:$A$666=$A69)*(Data!$B$2:$B$666=$B69)*(Data!$C$2:$C$666=$C69)*(ISNUMBER(MATCH(Data!$D$2:$D$666,CurrentMonths,0)))*Data!$E$2:$E$666)</f>
        <v>19120.2</v>
      </c>
      <c r="F69" s="12">
        <f>E69-D69</f>
        <v>-69642.21</v>
      </c>
      <c r="G69" s="13">
        <f>IF(D69=0,"",F69/ABS(D69))</f>
        <v>-0.7845912475787893</v>
      </c>
      <c r="H69" s="10" t="str">
        <f>IF(ABS(F69)&gt;=Threshold,"Yes","No")</f>
        <v>No</v>
      </c>
      <c r="I69" s="10" t="s">
        <v>18</v>
      </c>
    </row>
    <row r="70" spans="1:9">
      <c r="A70" s="10" t="s">
        <v>33</v>
      </c>
      <c r="B70" s="10" t="s">
        <v>34</v>
      </c>
      <c r="C70" s="10" t="s">
        <v>44</v>
      </c>
      <c r="D70" s="12">
        <f>SUMPRODUCT((Data!$A$2:$A$666=$A70)*(Data!$B$2:$B$666=$B70)*(Data!$C$2:$C$666=$C70)*(ISNUMBER(MATCH(Data!$D$2:$D$666,BaseMonths,0)))*Data!$E$2:$E$666)</f>
        <v>8984.59</v>
      </c>
      <c r="E70" s="12">
        <f>SUMPRODUCT((Data!$A$2:$A$666=$A70)*(Data!$B$2:$B$666=$B70)*(Data!$C$2:$C$666=$C70)*(ISNUMBER(MATCH(Data!$D$2:$D$666,CurrentMonths,0)))*Data!$E$2:$E$666)</f>
        <v>77445.55</v>
      </c>
      <c r="F70" s="12">
        <f>E70-D70</f>
        <v>68460.96</v>
      </c>
      <c r="G70" s="13">
        <f>IF(D70=0,"",F70/ABS(D70))</f>
        <v>7.619820158738463</v>
      </c>
      <c r="H70" s="10" t="str">
        <f>IF(ABS(F70)&gt;=Threshold,"Yes","No")</f>
        <v>No</v>
      </c>
      <c r="I70" s="10" t="s">
        <v>18</v>
      </c>
    </row>
    <row r="71" spans="1:9">
      <c r="A71" s="10" t="s">
        <v>169</v>
      </c>
      <c r="B71" s="10" t="s">
        <v>67</v>
      </c>
      <c r="C71" s="10" t="s">
        <v>173</v>
      </c>
      <c r="D71" s="12">
        <f>SUMPRODUCT((Data!$A$2:$A$666=$A71)*(Data!$B$2:$B$666=$B71)*(Data!$C$2:$C$666=$C71)*(ISNUMBER(MATCH(Data!$D$2:$D$666,BaseMonths,0)))*Data!$E$2:$E$666)</f>
        <v>126603.27</v>
      </c>
      <c r="E71" s="12">
        <f>SUMPRODUCT((Data!$A$2:$A$666=$A71)*(Data!$B$2:$B$666=$B71)*(Data!$C$2:$C$666=$C71)*(ISNUMBER(MATCH(Data!$D$2:$D$666,CurrentMonths,0)))*Data!$E$2:$E$666)</f>
        <v>59017.1</v>
      </c>
      <c r="F71" s="12">
        <f>E71-D71</f>
        <v>-67586.17</v>
      </c>
      <c r="G71" s="13">
        <f>IF(D71=0,"",F71/ABS(D71))</f>
        <v>-0.5338422143440686</v>
      </c>
      <c r="H71" s="10" t="str">
        <f>IF(ABS(F71)&gt;=Threshold,"Yes","No")</f>
        <v>No</v>
      </c>
      <c r="I71" s="10" t="s">
        <v>18</v>
      </c>
    </row>
    <row r="72" spans="1:9">
      <c r="A72" s="10" t="s">
        <v>161</v>
      </c>
      <c r="B72" s="10" t="s">
        <v>67</v>
      </c>
      <c r="C72" s="10" t="s">
        <v>162</v>
      </c>
      <c r="D72" s="12">
        <f>SUMPRODUCT((Data!$A$2:$A$666=$A72)*(Data!$B$2:$B$666=$B72)*(Data!$C$2:$C$666=$C72)*(ISNUMBER(MATCH(Data!$D$2:$D$666,BaseMonths,0)))*Data!$E$2:$E$666)</f>
        <v>133285.87</v>
      </c>
      <c r="E72" s="12">
        <f>SUMPRODUCT((Data!$A$2:$A$666=$A72)*(Data!$B$2:$B$666=$B72)*(Data!$C$2:$C$666=$C72)*(ISNUMBER(MATCH(Data!$D$2:$D$666,CurrentMonths,0)))*Data!$E$2:$E$666)</f>
        <v>65939.94</v>
      </c>
      <c r="F72" s="12">
        <f>E72-D72</f>
        <v>-67345.93</v>
      </c>
      <c r="G72" s="13">
        <f>IF(D72=0,"",F72/ABS(D72))</f>
        <v>-0.5052743400331933</v>
      </c>
      <c r="H72" s="10" t="str">
        <f>IF(ABS(F72)&gt;=Threshold,"Yes","No")</f>
        <v>No</v>
      </c>
      <c r="I72" s="10" t="s">
        <v>18</v>
      </c>
    </row>
    <row r="73" spans="1:9">
      <c r="A73" s="10" t="s">
        <v>322</v>
      </c>
      <c r="B73" s="10" t="s">
        <v>55</v>
      </c>
      <c r="C73" s="10" t="s">
        <v>336</v>
      </c>
      <c r="D73" s="12">
        <f>SUMPRODUCT((Data!$A$2:$A$666=$A73)*(Data!$B$2:$B$666=$B73)*(Data!$C$2:$C$666=$C73)*(ISNUMBER(MATCH(Data!$D$2:$D$666,BaseMonths,0)))*Data!$E$2:$E$666)</f>
        <v>76523.39</v>
      </c>
      <c r="E73" s="12">
        <f>SUMPRODUCT((Data!$A$2:$A$666=$A73)*(Data!$B$2:$B$666=$B73)*(Data!$C$2:$C$666=$C73)*(ISNUMBER(MATCH(Data!$D$2:$D$666,CurrentMonths,0)))*Data!$E$2:$E$666)</f>
        <v>9614.71</v>
      </c>
      <c r="F73" s="12">
        <f>E73-D73</f>
        <v>-66908.68</v>
      </c>
      <c r="G73" s="13">
        <f>IF(D73=0,"",F73/ABS(D73))</f>
        <v>-0.8743559322188941</v>
      </c>
      <c r="H73" s="10" t="str">
        <f>IF(ABS(F73)&gt;=Threshold,"Yes","No")</f>
        <v>No</v>
      </c>
      <c r="I73" s="10" t="s">
        <v>18</v>
      </c>
    </row>
    <row r="74" spans="1:9">
      <c r="A74" s="10" t="s">
        <v>202</v>
      </c>
      <c r="B74" s="10" t="s">
        <v>34</v>
      </c>
      <c r="C74" s="10" t="s">
        <v>203</v>
      </c>
      <c r="D74" s="12">
        <f>SUMPRODUCT((Data!$A$2:$A$666=$A74)*(Data!$B$2:$B$666=$B74)*(Data!$C$2:$C$666=$C74)*(ISNUMBER(MATCH(Data!$D$2:$D$666,BaseMonths,0)))*Data!$E$2:$E$666)</f>
        <v>77312.74</v>
      </c>
      <c r="E74" s="12">
        <f>SUMPRODUCT((Data!$A$2:$A$666=$A74)*(Data!$B$2:$B$666=$B74)*(Data!$C$2:$C$666=$C74)*(ISNUMBER(MATCH(Data!$D$2:$D$666,CurrentMonths,0)))*Data!$E$2:$E$666)</f>
        <v>144215.88</v>
      </c>
      <c r="F74" s="12">
        <f>E74-D74</f>
        <v>66903.14</v>
      </c>
      <c r="G74" s="13">
        <f>IF(D74=0,"",F74/ABS(D74))</f>
        <v>0.8653572490122584</v>
      </c>
      <c r="H74" s="10" t="str">
        <f>IF(ABS(F74)&gt;=Threshold,"Yes","No")</f>
        <v>No</v>
      </c>
      <c r="I74" s="10" t="s">
        <v>18</v>
      </c>
    </row>
    <row r="75" spans="1:9">
      <c r="A75" s="10" t="s">
        <v>289</v>
      </c>
      <c r="B75" s="10" t="s">
        <v>67</v>
      </c>
      <c r="C75" s="10" t="s">
        <v>290</v>
      </c>
      <c r="D75" s="12">
        <f>SUMPRODUCT((Data!$A$2:$A$666=$A75)*(Data!$B$2:$B$666=$B75)*(Data!$C$2:$C$666=$C75)*(ISNUMBER(MATCH(Data!$D$2:$D$666,BaseMonths,0)))*Data!$E$2:$E$666)</f>
        <v>95587.77</v>
      </c>
      <c r="E75" s="12">
        <f>SUMPRODUCT((Data!$A$2:$A$666=$A75)*(Data!$B$2:$B$666=$B75)*(Data!$C$2:$C$666=$C75)*(ISNUMBER(MATCH(Data!$D$2:$D$666,CurrentMonths,0)))*Data!$E$2:$E$666)</f>
        <v>29360.83</v>
      </c>
      <c r="F75" s="12">
        <f>E75-D75</f>
        <v>-66226.94</v>
      </c>
      <c r="G75" s="13">
        <f>IF(D75=0,"",F75/ABS(D75))</f>
        <v>-0.6928390525273265</v>
      </c>
      <c r="H75" s="10" t="str">
        <f>IF(ABS(F75)&gt;=Threshold,"Yes","No")</f>
        <v>No</v>
      </c>
      <c r="I75" s="10" t="s">
        <v>18</v>
      </c>
    </row>
    <row r="76" spans="1:9">
      <c r="A76" s="10" t="s">
        <v>33</v>
      </c>
      <c r="B76" s="10" t="s">
        <v>34</v>
      </c>
      <c r="C76" s="10" t="s">
        <v>52</v>
      </c>
      <c r="D76" s="12">
        <f>SUMPRODUCT((Data!$A$2:$A$666=$A76)*(Data!$B$2:$B$666=$B76)*(Data!$C$2:$C$666=$C76)*(ISNUMBER(MATCH(Data!$D$2:$D$666,BaseMonths,0)))*Data!$E$2:$E$666)</f>
        <v>83522.38</v>
      </c>
      <c r="E76" s="12">
        <f>SUMPRODUCT((Data!$A$2:$A$666=$A76)*(Data!$B$2:$B$666=$B76)*(Data!$C$2:$C$666=$C76)*(ISNUMBER(MATCH(Data!$D$2:$D$666,CurrentMonths,0)))*Data!$E$2:$E$666)</f>
        <v>148118.41</v>
      </c>
      <c r="F76" s="12">
        <f>E76-D76</f>
        <v>64596.03</v>
      </c>
      <c r="G76" s="13">
        <f>IF(D76=0,"",F76/ABS(D76))</f>
        <v>0.7733978605494718</v>
      </c>
      <c r="H76" s="10" t="str">
        <f>IF(ABS(F76)&gt;=Threshold,"Yes","No")</f>
        <v>No</v>
      </c>
      <c r="I76" s="10" t="s">
        <v>18</v>
      </c>
    </row>
    <row r="77" spans="1:9">
      <c r="A77" s="10" t="s">
        <v>305</v>
      </c>
      <c r="B77" s="10" t="s">
        <v>67</v>
      </c>
      <c r="C77" s="10" t="s">
        <v>319</v>
      </c>
      <c r="D77" s="12">
        <f>SUMPRODUCT((Data!$A$2:$A$666=$A77)*(Data!$B$2:$B$666=$B77)*(Data!$C$2:$C$666=$C77)*(ISNUMBER(MATCH(Data!$D$2:$D$666,BaseMonths,0)))*Data!$E$2:$E$666)</f>
        <v>92324.36</v>
      </c>
      <c r="E77" s="12">
        <f>SUMPRODUCT((Data!$A$2:$A$666=$A77)*(Data!$B$2:$B$666=$B77)*(Data!$C$2:$C$666=$C77)*(ISNUMBER(MATCH(Data!$D$2:$D$666,CurrentMonths,0)))*Data!$E$2:$E$666)</f>
        <v>27872.69</v>
      </c>
      <c r="F77" s="12">
        <f>E77-D77</f>
        <v>-64451.67</v>
      </c>
      <c r="G77" s="13">
        <f>IF(D77=0,"",F77/ABS(D77))</f>
        <v>-0.6981003713429478</v>
      </c>
      <c r="H77" s="10" t="str">
        <f>IF(ABS(F77)&gt;=Threshold,"Yes","No")</f>
        <v>No</v>
      </c>
      <c r="I77" s="10" t="s">
        <v>18</v>
      </c>
    </row>
    <row r="78" spans="1:9">
      <c r="A78" s="10" t="s">
        <v>322</v>
      </c>
      <c r="B78" s="10" t="s">
        <v>55</v>
      </c>
      <c r="C78" s="10" t="s">
        <v>348</v>
      </c>
      <c r="D78" s="12">
        <f>SUMPRODUCT((Data!$A$2:$A$666=$A78)*(Data!$B$2:$B$666=$B78)*(Data!$C$2:$C$666=$C78)*(ISNUMBER(MATCH(Data!$D$2:$D$666,BaseMonths,0)))*Data!$E$2:$E$666)</f>
        <v>81049.69</v>
      </c>
      <c r="E78" s="12">
        <f>SUMPRODUCT((Data!$A$2:$A$666=$A78)*(Data!$B$2:$B$666=$B78)*(Data!$C$2:$C$666=$C78)*(ISNUMBER(MATCH(Data!$D$2:$D$666,CurrentMonths,0)))*Data!$E$2:$E$666)</f>
        <v>144641.55</v>
      </c>
      <c r="F78" s="12">
        <f>E78-D78</f>
        <v>63591.86</v>
      </c>
      <c r="G78" s="13">
        <f>IF(D78=0,"",F78/ABS(D78))</f>
        <v>0.7846033710924742</v>
      </c>
      <c r="H78" s="10" t="str">
        <f>IF(ABS(F78)&gt;=Threshold,"Yes","No")</f>
        <v>No</v>
      </c>
      <c r="I78" s="10" t="s">
        <v>18</v>
      </c>
    </row>
    <row r="79" spans="1:9">
      <c r="A79" s="10" t="s">
        <v>123</v>
      </c>
      <c r="B79" s="10" t="s">
        <v>67</v>
      </c>
      <c r="C79" s="10" t="s">
        <v>137</v>
      </c>
      <c r="D79" s="12">
        <f>SUMPRODUCT((Data!$A$2:$A$666=$A79)*(Data!$B$2:$B$666=$B79)*(Data!$C$2:$C$666=$C79)*(ISNUMBER(MATCH(Data!$D$2:$D$666,BaseMonths,0)))*Data!$E$2:$E$666)</f>
        <v>101544.71</v>
      </c>
      <c r="E79" s="12">
        <f>SUMPRODUCT((Data!$A$2:$A$666=$A79)*(Data!$B$2:$B$666=$B79)*(Data!$C$2:$C$666=$C79)*(ISNUMBER(MATCH(Data!$D$2:$D$666,CurrentMonths,0)))*Data!$E$2:$E$666)</f>
        <v>38009.71</v>
      </c>
      <c r="F79" s="12">
        <f>E79-D79</f>
        <v>-63535.0</v>
      </c>
      <c r="G79" s="13">
        <f>IF(D79=0,"",F79/ABS(D79))</f>
        <v>-0.6256849815219325</v>
      </c>
      <c r="H79" s="10" t="str">
        <f>IF(ABS(F79)&gt;=Threshold,"Yes","No")</f>
        <v>No</v>
      </c>
      <c r="I79" s="10" t="s">
        <v>18</v>
      </c>
    </row>
    <row r="80" spans="1:9">
      <c r="A80" s="10" t="s">
        <v>322</v>
      </c>
      <c r="B80" s="10" t="s">
        <v>55</v>
      </c>
      <c r="C80" s="10" t="s">
        <v>387</v>
      </c>
      <c r="D80" s="12">
        <f>SUMPRODUCT((Data!$A$2:$A$666=$A80)*(Data!$B$2:$B$666=$B80)*(Data!$C$2:$C$666=$C80)*(ISNUMBER(MATCH(Data!$D$2:$D$666,BaseMonths,0)))*Data!$E$2:$E$666)</f>
        <v>250954.46</v>
      </c>
      <c r="E80" s="12">
        <f>SUMPRODUCT((Data!$A$2:$A$666=$A80)*(Data!$B$2:$B$666=$B80)*(Data!$C$2:$C$666=$C80)*(ISNUMBER(MATCH(Data!$D$2:$D$666,CurrentMonths,0)))*Data!$E$2:$E$666)</f>
        <v>188680.8</v>
      </c>
      <c r="F80" s="12">
        <f>E80-D80</f>
        <v>-62273.66</v>
      </c>
      <c r="G80" s="13">
        <f>IF(D80=0,"",F80/ABS(D80))</f>
        <v>-0.24814725348973676</v>
      </c>
      <c r="H80" s="10" t="str">
        <f>IF(ABS(F80)&gt;=Threshold,"Yes","No")</f>
        <v>No</v>
      </c>
      <c r="I80" s="10" t="s">
        <v>18</v>
      </c>
    </row>
    <row r="81" spans="1:9">
      <c r="A81" s="10" t="s">
        <v>256</v>
      </c>
      <c r="B81" s="10" t="s">
        <v>67</v>
      </c>
      <c r="C81" s="10" t="s">
        <v>259</v>
      </c>
      <c r="D81" s="12">
        <f>SUMPRODUCT((Data!$A$2:$A$666=$A81)*(Data!$B$2:$B$666=$B81)*(Data!$C$2:$C$666=$C81)*(ISNUMBER(MATCH(Data!$D$2:$D$666,BaseMonths,0)))*Data!$E$2:$E$666)</f>
        <v>99782.05</v>
      </c>
      <c r="E81" s="12">
        <f>SUMPRODUCT((Data!$A$2:$A$666=$A81)*(Data!$B$2:$B$666=$B81)*(Data!$C$2:$C$666=$C81)*(ISNUMBER(MATCH(Data!$D$2:$D$666,CurrentMonths,0)))*Data!$E$2:$E$666)</f>
        <v>38034.41</v>
      </c>
      <c r="F81" s="12">
        <f>E81-D81</f>
        <v>-61747.64</v>
      </c>
      <c r="G81" s="13">
        <f>IF(D81=0,"",F81/ABS(D81))</f>
        <v>-0.6188251293694608</v>
      </c>
      <c r="H81" s="10" t="str">
        <f>IF(ABS(F81)&gt;=Threshold,"Yes","No")</f>
        <v>No</v>
      </c>
      <c r="I81" s="10" t="s">
        <v>18</v>
      </c>
    </row>
    <row r="82" spans="1:9">
      <c r="A82" s="10" t="s">
        <v>322</v>
      </c>
      <c r="B82" s="10" t="s">
        <v>55</v>
      </c>
      <c r="C82" s="10" t="s">
        <v>364</v>
      </c>
      <c r="D82" s="12">
        <f>SUMPRODUCT((Data!$A$2:$A$666=$A82)*(Data!$B$2:$B$666=$B82)*(Data!$C$2:$C$666=$C82)*(ISNUMBER(MATCH(Data!$D$2:$D$666,BaseMonths,0)))*Data!$E$2:$E$666)</f>
        <v>70699.32</v>
      </c>
      <c r="E82" s="12">
        <f>SUMPRODUCT((Data!$A$2:$A$666=$A82)*(Data!$B$2:$B$666=$B82)*(Data!$C$2:$C$666=$C82)*(ISNUMBER(MATCH(Data!$D$2:$D$666,CurrentMonths,0)))*Data!$E$2:$E$666)</f>
        <v>9895.45</v>
      </c>
      <c r="F82" s="12">
        <f>E82-D82</f>
        <v>-60803.87</v>
      </c>
      <c r="G82" s="13">
        <f>IF(D82=0,"",F82/ABS(D82))</f>
        <v>-0.8600347216918068</v>
      </c>
      <c r="H82" s="10" t="str">
        <f>IF(ABS(F82)&gt;=Threshold,"Yes","No")</f>
        <v>No</v>
      </c>
      <c r="I82" s="10" t="s">
        <v>18</v>
      </c>
    </row>
    <row r="83" spans="1:9">
      <c r="A83" s="10" t="s">
        <v>284</v>
      </c>
      <c r="B83" s="10" t="s">
        <v>67</v>
      </c>
      <c r="C83" s="10" t="s">
        <v>286</v>
      </c>
      <c r="D83" s="12">
        <f>SUMPRODUCT((Data!$A$2:$A$666=$A83)*(Data!$B$2:$B$666=$B83)*(Data!$C$2:$C$666=$C83)*(ISNUMBER(MATCH(Data!$D$2:$D$666,BaseMonths,0)))*Data!$E$2:$E$666)</f>
        <v>165927.11</v>
      </c>
      <c r="E83" s="12">
        <f>SUMPRODUCT((Data!$A$2:$A$666=$A83)*(Data!$B$2:$B$666=$B83)*(Data!$C$2:$C$666=$C83)*(ISNUMBER(MATCH(Data!$D$2:$D$666,CurrentMonths,0)))*Data!$E$2:$E$666)</f>
        <v>106275.3</v>
      </c>
      <c r="F83" s="12">
        <f>E83-D83</f>
        <v>-59651.81</v>
      </c>
      <c r="G83" s="13">
        <f>IF(D83=0,"",F83/ABS(D83))</f>
        <v>-0.35950611084590095</v>
      </c>
      <c r="H83" s="10" t="str">
        <f>IF(ABS(F83)&gt;=Threshold,"Yes","No")</f>
        <v>No</v>
      </c>
      <c r="I83" s="10" t="s">
        <v>18</v>
      </c>
    </row>
    <row r="84" spans="1:9">
      <c r="A84" s="10" t="s">
        <v>213</v>
      </c>
      <c r="B84" s="10" t="s">
        <v>67</v>
      </c>
      <c r="C84" s="10" t="s">
        <v>221</v>
      </c>
      <c r="D84" s="12">
        <f>SUMPRODUCT((Data!$A$2:$A$666=$A84)*(Data!$B$2:$B$666=$B84)*(Data!$C$2:$C$666=$C84)*(ISNUMBER(MATCH(Data!$D$2:$D$666,BaseMonths,0)))*Data!$E$2:$E$666)</f>
        <v>105077.7</v>
      </c>
      <c r="E84" s="12">
        <f>SUMPRODUCT((Data!$A$2:$A$666=$A84)*(Data!$B$2:$B$666=$B84)*(Data!$C$2:$C$666=$C84)*(ISNUMBER(MATCH(Data!$D$2:$D$666,CurrentMonths,0)))*Data!$E$2:$E$666)</f>
        <v>46903.31</v>
      </c>
      <c r="F84" s="12">
        <f>E84-D84</f>
        <v>-58174.39</v>
      </c>
      <c r="G84" s="13">
        <f>IF(D84=0,"",F84/ABS(D84))</f>
        <v>-0.5536321217537118</v>
      </c>
      <c r="H84" s="10" t="str">
        <f>IF(ABS(F84)&gt;=Threshold,"Yes","No")</f>
        <v>No</v>
      </c>
      <c r="I84" s="10" t="s">
        <v>18</v>
      </c>
    </row>
    <row r="85" spans="1:9">
      <c r="A85" s="10" t="s">
        <v>322</v>
      </c>
      <c r="B85" s="10" t="s">
        <v>55</v>
      </c>
      <c r="C85" s="10" t="s">
        <v>330</v>
      </c>
      <c r="D85" s="12">
        <f>SUMPRODUCT((Data!$A$2:$A$666=$A85)*(Data!$B$2:$B$666=$B85)*(Data!$C$2:$C$666=$C85)*(ISNUMBER(MATCH(Data!$D$2:$D$666,BaseMonths,0)))*Data!$E$2:$E$666)</f>
        <v>111637.26</v>
      </c>
      <c r="E85" s="12">
        <f>SUMPRODUCT((Data!$A$2:$A$666=$A85)*(Data!$B$2:$B$666=$B85)*(Data!$C$2:$C$666=$C85)*(ISNUMBER(MATCH(Data!$D$2:$D$666,CurrentMonths,0)))*Data!$E$2:$E$666)</f>
        <v>169373.84</v>
      </c>
      <c r="F85" s="12">
        <f>E85-D85</f>
        <v>57736.58</v>
      </c>
      <c r="G85" s="13">
        <f>IF(D85=0,"",F85/ABS(D85))</f>
        <v>0.5171801959310002</v>
      </c>
      <c r="H85" s="10" t="str">
        <f>IF(ABS(F85)&gt;=Threshold,"Yes","No")</f>
        <v>No</v>
      </c>
      <c r="I85" s="10" t="s">
        <v>18</v>
      </c>
    </row>
    <row r="86" spans="1:9">
      <c r="A86" s="10" t="s">
        <v>33</v>
      </c>
      <c r="B86" s="10" t="s">
        <v>34</v>
      </c>
      <c r="C86" s="10" t="s">
        <v>46</v>
      </c>
      <c r="D86" s="12">
        <f>SUMPRODUCT((Data!$A$2:$A$666=$A86)*(Data!$B$2:$B$666=$B86)*(Data!$C$2:$C$666=$C86)*(ISNUMBER(MATCH(Data!$D$2:$D$666,BaseMonths,0)))*Data!$E$2:$E$666)</f>
        <v>55005.04</v>
      </c>
      <c r="E86" s="12">
        <f>SUMPRODUCT((Data!$A$2:$A$666=$A86)*(Data!$B$2:$B$666=$B86)*(Data!$C$2:$C$666=$C86)*(ISNUMBER(MATCH(Data!$D$2:$D$666,CurrentMonths,0)))*Data!$E$2:$E$666)</f>
        <v>111017.96</v>
      </c>
      <c r="F86" s="12">
        <f>E86-D86</f>
        <v>56012.92</v>
      </c>
      <c r="G86" s="13">
        <f>IF(D86=0,"",F86/ABS(D86))</f>
        <v>1.0183234118182625</v>
      </c>
      <c r="H86" s="10" t="str">
        <f>IF(ABS(F86)&gt;=Threshold,"Yes","No")</f>
        <v>No</v>
      </c>
      <c r="I86" s="10" t="s">
        <v>18</v>
      </c>
    </row>
    <row r="87" spans="1:9">
      <c r="A87" s="10" t="s">
        <v>123</v>
      </c>
      <c r="B87" s="10" t="s">
        <v>67</v>
      </c>
      <c r="C87" s="10" t="s">
        <v>133</v>
      </c>
      <c r="D87" s="12">
        <f>SUMPRODUCT((Data!$A$2:$A$666=$A87)*(Data!$B$2:$B$666=$B87)*(Data!$C$2:$C$666=$C87)*(ISNUMBER(MATCH(Data!$D$2:$D$666,BaseMonths,0)))*Data!$E$2:$E$666)</f>
        <v>196018.55</v>
      </c>
      <c r="E87" s="12">
        <f>SUMPRODUCT((Data!$A$2:$A$666=$A87)*(Data!$B$2:$B$666=$B87)*(Data!$C$2:$C$666=$C87)*(ISNUMBER(MATCH(Data!$D$2:$D$666,CurrentMonths,0)))*Data!$E$2:$E$666)</f>
        <v>140479.4</v>
      </c>
      <c r="F87" s="12">
        <f>E87-D87</f>
        <v>-55539.15</v>
      </c>
      <c r="G87" s="13">
        <f>IF(D87=0,"",F87/ABS(D87))</f>
        <v>-0.2833361944571062</v>
      </c>
      <c r="H87" s="10" t="str">
        <f>IF(ABS(F87)&gt;=Threshold,"Yes","No")</f>
        <v>No</v>
      </c>
      <c r="I87" s="10" t="s">
        <v>18</v>
      </c>
    </row>
    <row r="88" spans="1:9">
      <c r="A88" s="10" t="s">
        <v>229</v>
      </c>
      <c r="B88" s="10" t="s">
        <v>67</v>
      </c>
      <c r="C88" s="10" t="s">
        <v>246</v>
      </c>
      <c r="D88" s="12">
        <f>SUMPRODUCT((Data!$A$2:$A$666=$A88)*(Data!$B$2:$B$666=$B88)*(Data!$C$2:$C$666=$C88)*(ISNUMBER(MATCH(Data!$D$2:$D$666,BaseMonths,0)))*Data!$E$2:$E$666)</f>
        <v>-27058.42</v>
      </c>
      <c r="E88" s="12">
        <f>SUMPRODUCT((Data!$A$2:$A$666=$A88)*(Data!$B$2:$B$666=$B88)*(Data!$C$2:$C$666=$C88)*(ISNUMBER(MATCH(Data!$D$2:$D$666,CurrentMonths,0)))*Data!$E$2:$E$666)</f>
        <v>28247.93</v>
      </c>
      <c r="F88" s="12">
        <f>E88-D88</f>
        <v>55306.35</v>
      </c>
      <c r="G88" s="13">
        <f>IF(D88=0,"",F88/ABS(D88))</f>
        <v>2.0439608077633507</v>
      </c>
      <c r="H88" s="10" t="str">
        <f>IF(ABS(F88)&gt;=Threshold,"Yes","No")</f>
        <v>No</v>
      </c>
      <c r="I88" s="10" t="s">
        <v>18</v>
      </c>
    </row>
    <row r="89" spans="1:9">
      <c r="A89" s="10" t="s">
        <v>144</v>
      </c>
      <c r="B89" s="10" t="s">
        <v>34</v>
      </c>
      <c r="C89" s="10" t="s">
        <v>145</v>
      </c>
      <c r="D89" s="12">
        <f>SUMPRODUCT((Data!$A$2:$A$666=$A89)*(Data!$B$2:$B$666=$B89)*(Data!$C$2:$C$666=$C89)*(ISNUMBER(MATCH(Data!$D$2:$D$666,BaseMonths,0)))*Data!$E$2:$E$666)</f>
        <v>359917.66</v>
      </c>
      <c r="E89" s="12">
        <f>SUMPRODUCT((Data!$A$2:$A$666=$A89)*(Data!$B$2:$B$666=$B89)*(Data!$C$2:$C$666=$C89)*(ISNUMBER(MATCH(Data!$D$2:$D$666,CurrentMonths,0)))*Data!$E$2:$E$666)</f>
        <v>306617.88</v>
      </c>
      <c r="F89" s="12">
        <f>E89-D89</f>
        <v>-53299.78</v>
      </c>
      <c r="G89" s="13">
        <f>IF(D89=0,"",F89/ABS(D89))</f>
        <v>-0.14808881564744558</v>
      </c>
      <c r="H89" s="10" t="str">
        <f>IF(ABS(F89)&gt;=Threshold,"Yes","No")</f>
        <v>No</v>
      </c>
      <c r="I89" s="10" t="s">
        <v>18</v>
      </c>
    </row>
    <row r="90" spans="1:9">
      <c r="A90" s="10" t="s">
        <v>111</v>
      </c>
      <c r="B90" s="10" t="s">
        <v>67</v>
      </c>
      <c r="C90" s="10" t="s">
        <v>116</v>
      </c>
      <c r="D90" s="12">
        <f>SUMPRODUCT((Data!$A$2:$A$666=$A90)*(Data!$B$2:$B$666=$B90)*(Data!$C$2:$C$666=$C90)*(ISNUMBER(MATCH(Data!$D$2:$D$666,BaseMonths,0)))*Data!$E$2:$E$666)</f>
        <v>163310.55</v>
      </c>
      <c r="E90" s="12">
        <f>SUMPRODUCT((Data!$A$2:$A$666=$A90)*(Data!$B$2:$B$666=$B90)*(Data!$C$2:$C$666=$C90)*(ISNUMBER(MATCH(Data!$D$2:$D$666,CurrentMonths,0)))*Data!$E$2:$E$666)</f>
        <v>111996.98</v>
      </c>
      <c r="F90" s="12">
        <f>E90-D90</f>
        <v>-51313.57</v>
      </c>
      <c r="G90" s="13">
        <f>IF(D90=0,"",F90/ABS(D90))</f>
        <v>-0.31420854317127705</v>
      </c>
      <c r="H90" s="10" t="str">
        <f>IF(ABS(F90)&gt;=Threshold,"Yes","No")</f>
        <v>No</v>
      </c>
      <c r="I90" s="10" t="s">
        <v>18</v>
      </c>
    </row>
    <row r="91" spans="1:9">
      <c r="A91" s="10" t="s">
        <v>123</v>
      </c>
      <c r="B91" s="10" t="s">
        <v>67</v>
      </c>
      <c r="C91" s="10" t="s">
        <v>135</v>
      </c>
      <c r="D91" s="12">
        <f>SUMPRODUCT((Data!$A$2:$A$666=$A91)*(Data!$B$2:$B$666=$B91)*(Data!$C$2:$C$666=$C91)*(ISNUMBER(MATCH(Data!$D$2:$D$666,BaseMonths,0)))*Data!$E$2:$E$666)</f>
        <v>21277.08</v>
      </c>
      <c r="E91" s="12">
        <f>SUMPRODUCT((Data!$A$2:$A$666=$A91)*(Data!$B$2:$B$666=$B91)*(Data!$C$2:$C$666=$C91)*(ISNUMBER(MATCH(Data!$D$2:$D$666,CurrentMonths,0)))*Data!$E$2:$E$666)</f>
        <v>72319.32</v>
      </c>
      <c r="F91" s="12">
        <f>E91-D91</f>
        <v>51042.24</v>
      </c>
      <c r="G91" s="13">
        <f>IF(D91=0,"",F91/ABS(D91))</f>
        <v>2.398930680337715</v>
      </c>
      <c r="H91" s="10" t="str">
        <f>IF(ABS(F91)&gt;=Threshold,"Yes","No")</f>
        <v>No</v>
      </c>
      <c r="I91" s="10" t="s">
        <v>18</v>
      </c>
    </row>
    <row r="92" spans="1:9">
      <c r="A92" s="10" t="s">
        <v>140</v>
      </c>
      <c r="B92" s="10" t="s">
        <v>67</v>
      </c>
      <c r="C92" s="10" t="s">
        <v>143</v>
      </c>
      <c r="D92" s="12">
        <f>SUMPRODUCT((Data!$A$2:$A$666=$A92)*(Data!$B$2:$B$666=$B92)*(Data!$C$2:$C$666=$C92)*(ISNUMBER(MATCH(Data!$D$2:$D$666,BaseMonths,0)))*Data!$E$2:$E$666)</f>
        <v>7327.97</v>
      </c>
      <c r="E92" s="12">
        <f>SUMPRODUCT((Data!$A$2:$A$666=$A92)*(Data!$B$2:$B$666=$B92)*(Data!$C$2:$C$666=$C92)*(ISNUMBER(MATCH(Data!$D$2:$D$666,CurrentMonths,0)))*Data!$E$2:$E$666)</f>
        <v>57735.41</v>
      </c>
      <c r="F92" s="12">
        <f>E92-D92</f>
        <v>50407.44</v>
      </c>
      <c r="G92" s="13">
        <f>IF(D92=0,"",F92/ABS(D92))</f>
        <v>6.878772702399164</v>
      </c>
      <c r="H92" s="10" t="str">
        <f>IF(ABS(F92)&gt;=Threshold,"Yes","No")</f>
        <v>No</v>
      </c>
      <c r="I92" s="10" t="s">
        <v>18</v>
      </c>
    </row>
    <row r="93" spans="1:9">
      <c r="A93" s="10" t="s">
        <v>70</v>
      </c>
      <c r="B93" s="10" t="s">
        <v>55</v>
      </c>
      <c r="C93" s="10" t="s">
        <v>76</v>
      </c>
      <c r="D93" s="12">
        <f>SUMPRODUCT((Data!$A$2:$A$666=$A93)*(Data!$B$2:$B$666=$B93)*(Data!$C$2:$C$666=$C93)*(ISNUMBER(MATCH(Data!$D$2:$D$666,BaseMonths,0)))*Data!$E$2:$E$666)</f>
        <v>94475.27</v>
      </c>
      <c r="E93" s="12">
        <f>SUMPRODUCT((Data!$A$2:$A$666=$A93)*(Data!$B$2:$B$666=$B93)*(Data!$C$2:$C$666=$C93)*(ISNUMBER(MATCH(Data!$D$2:$D$666,CurrentMonths,0)))*Data!$E$2:$E$666)</f>
        <v>44196.69</v>
      </c>
      <c r="F93" s="12">
        <f>E93-D93</f>
        <v>-50278.58</v>
      </c>
      <c r="G93" s="13">
        <f>IF(D93=0,"",F93/ABS(D93))</f>
        <v>-0.5321877354782897</v>
      </c>
      <c r="H93" s="10" t="str">
        <f>IF(ABS(F93)&gt;=Threshold,"Yes","No")</f>
        <v>No</v>
      </c>
      <c r="I93" s="10" t="s">
        <v>18</v>
      </c>
    </row>
    <row r="94" spans="1:9">
      <c r="A94" s="10" t="s">
        <v>94</v>
      </c>
      <c r="B94" s="10" t="s">
        <v>34</v>
      </c>
      <c r="C94" s="10" t="s">
        <v>95</v>
      </c>
      <c r="D94" s="12">
        <f>SUMPRODUCT((Data!$A$2:$A$666=$A94)*(Data!$B$2:$B$666=$B94)*(Data!$C$2:$C$666=$C94)*(ISNUMBER(MATCH(Data!$D$2:$D$666,BaseMonths,0)))*Data!$E$2:$E$666)</f>
        <v>62730.8</v>
      </c>
      <c r="E94" s="12">
        <f>SUMPRODUCT((Data!$A$2:$A$666=$A94)*(Data!$B$2:$B$666=$B94)*(Data!$C$2:$C$666=$C94)*(ISNUMBER(MATCH(Data!$D$2:$D$666,CurrentMonths,0)))*Data!$E$2:$E$666)</f>
        <v>12726.34</v>
      </c>
      <c r="F94" s="12">
        <f>E94-D94</f>
        <v>-50004.46</v>
      </c>
      <c r="G94" s="13">
        <f>IF(D94=0,"",F94/ABS(D94))</f>
        <v>-0.7971277267307287</v>
      </c>
      <c r="H94" s="10" t="str">
        <f>IF(ABS(F94)&gt;=Threshold,"Yes","No")</f>
        <v>No</v>
      </c>
      <c r="I94" s="10" t="s">
        <v>18</v>
      </c>
    </row>
    <row r="95" spans="1:9">
      <c r="A95" s="10" t="s">
        <v>284</v>
      </c>
      <c r="B95" s="10" t="s">
        <v>67</v>
      </c>
      <c r="C95" s="10" t="s">
        <v>285</v>
      </c>
      <c r="D95" s="12">
        <f>SUMPRODUCT((Data!$A$2:$A$666=$A95)*(Data!$B$2:$B$666=$B95)*(Data!$C$2:$C$666=$C95)*(ISNUMBER(MATCH(Data!$D$2:$D$666,BaseMonths,0)))*Data!$E$2:$E$666)</f>
        <v>94958.03</v>
      </c>
      <c r="E95" s="12">
        <f>SUMPRODUCT((Data!$A$2:$A$666=$A95)*(Data!$B$2:$B$666=$B95)*(Data!$C$2:$C$666=$C95)*(ISNUMBER(MATCH(Data!$D$2:$D$666,CurrentMonths,0)))*Data!$E$2:$E$666)</f>
        <v>46141.33</v>
      </c>
      <c r="F95" s="12">
        <f>E95-D95</f>
        <v>-48816.7</v>
      </c>
      <c r="G95" s="13">
        <f>IF(D95=0,"",F95/ABS(D95))</f>
        <v>-0.5140871182774116</v>
      </c>
      <c r="H95" s="10" t="str">
        <f>IF(ABS(F95)&gt;=Threshold,"Yes","No")</f>
        <v>No</v>
      </c>
      <c r="I95" s="10" t="s">
        <v>18</v>
      </c>
    </row>
    <row r="96" spans="1:9">
      <c r="A96" s="10" t="s">
        <v>322</v>
      </c>
      <c r="B96" s="10" t="s">
        <v>55</v>
      </c>
      <c r="C96" s="10" t="s">
        <v>345</v>
      </c>
      <c r="D96" s="12">
        <f>SUMPRODUCT((Data!$A$2:$A$666=$A96)*(Data!$B$2:$B$666=$B96)*(Data!$C$2:$C$666=$C96)*(ISNUMBER(MATCH(Data!$D$2:$D$666,BaseMonths,0)))*Data!$E$2:$E$666)</f>
        <v>91688.37</v>
      </c>
      <c r="E96" s="12">
        <f>SUMPRODUCT((Data!$A$2:$A$666=$A96)*(Data!$B$2:$B$666=$B96)*(Data!$C$2:$C$666=$C96)*(ISNUMBER(MATCH(Data!$D$2:$D$666,CurrentMonths,0)))*Data!$E$2:$E$666)</f>
        <v>43354.79</v>
      </c>
      <c r="F96" s="12">
        <f>E96-D96</f>
        <v>-48333.58</v>
      </c>
      <c r="G96" s="13">
        <f>IF(D96=0,"",F96/ABS(D96))</f>
        <v>-0.5271506080869363</v>
      </c>
      <c r="H96" s="10" t="str">
        <f>IF(ABS(F96)&gt;=Threshold,"Yes","No")</f>
        <v>No</v>
      </c>
      <c r="I96" s="10" t="s">
        <v>18</v>
      </c>
    </row>
    <row r="97" spans="1:9">
      <c r="A97" s="10" t="s">
        <v>261</v>
      </c>
      <c r="B97" s="10" t="s">
        <v>67</v>
      </c>
      <c r="C97" s="10" t="s">
        <v>263</v>
      </c>
      <c r="D97" s="12">
        <f>SUMPRODUCT((Data!$A$2:$A$666=$A97)*(Data!$B$2:$B$666=$B97)*(Data!$C$2:$C$666=$C97)*(ISNUMBER(MATCH(Data!$D$2:$D$666,BaseMonths,0)))*Data!$E$2:$E$666)</f>
        <v>50495.4</v>
      </c>
      <c r="E97" s="12">
        <f>SUMPRODUCT((Data!$A$2:$A$666=$A97)*(Data!$B$2:$B$666=$B97)*(Data!$C$2:$C$666=$C97)*(ISNUMBER(MATCH(Data!$D$2:$D$666,CurrentMonths,0)))*Data!$E$2:$E$666)</f>
        <v>2326.51</v>
      </c>
      <c r="F97" s="12">
        <f>E97-D97</f>
        <v>-48168.89</v>
      </c>
      <c r="G97" s="13">
        <f>IF(D97=0,"",F97/ABS(D97))</f>
        <v>-0.9539262982370671</v>
      </c>
      <c r="H97" s="10" t="str">
        <f>IF(ABS(F97)&gt;=Threshold,"Yes","No")</f>
        <v>No</v>
      </c>
      <c r="I97" s="10" t="s">
        <v>18</v>
      </c>
    </row>
    <row r="98" spans="1:9">
      <c r="A98" s="10" t="s">
        <v>322</v>
      </c>
      <c r="B98" s="10" t="s">
        <v>55</v>
      </c>
      <c r="C98" s="10" t="s">
        <v>351</v>
      </c>
      <c r="D98" s="12">
        <f>SUMPRODUCT((Data!$A$2:$A$666=$A98)*(Data!$B$2:$B$666=$B98)*(Data!$C$2:$C$666=$C98)*(ISNUMBER(MATCH(Data!$D$2:$D$666,BaseMonths,0)))*Data!$E$2:$E$666)</f>
        <v>26094.0</v>
      </c>
      <c r="E98" s="12">
        <f>SUMPRODUCT((Data!$A$2:$A$666=$A98)*(Data!$B$2:$B$666=$B98)*(Data!$C$2:$C$666=$C98)*(ISNUMBER(MATCH(Data!$D$2:$D$666,CurrentMonths,0)))*Data!$E$2:$E$666)</f>
        <v>73955.42</v>
      </c>
      <c r="F98" s="12">
        <f>E98-D98</f>
        <v>47861.42</v>
      </c>
      <c r="G98" s="13">
        <f>IF(D98=0,"",F98/ABS(D98))</f>
        <v>1.8341925346823025</v>
      </c>
      <c r="H98" s="10" t="str">
        <f>IF(ABS(F98)&gt;=Threshold,"Yes","No")</f>
        <v>No</v>
      </c>
      <c r="I98" s="10" t="s">
        <v>18</v>
      </c>
    </row>
    <row r="99" spans="1:9">
      <c r="A99" s="10" t="s">
        <v>322</v>
      </c>
      <c r="B99" s="10" t="s">
        <v>55</v>
      </c>
      <c r="C99" s="10" t="s">
        <v>360</v>
      </c>
      <c r="D99" s="12">
        <f>SUMPRODUCT((Data!$A$2:$A$666=$A99)*(Data!$B$2:$B$666=$B99)*(Data!$C$2:$C$666=$C99)*(ISNUMBER(MATCH(Data!$D$2:$D$666,BaseMonths,0)))*Data!$E$2:$E$666)</f>
        <v>1702.6</v>
      </c>
      <c r="E99" s="12">
        <f>SUMPRODUCT((Data!$A$2:$A$666=$A99)*(Data!$B$2:$B$666=$B99)*(Data!$C$2:$C$666=$C99)*(ISNUMBER(MATCH(Data!$D$2:$D$666,CurrentMonths,0)))*Data!$E$2:$E$666)</f>
        <v>49210.0</v>
      </c>
      <c r="F99" s="12">
        <f>E99-D99</f>
        <v>47507.4</v>
      </c>
      <c r="G99" s="13">
        <f>IF(D99=0,"",F99/ABS(D99))</f>
        <v>27.902854457887937</v>
      </c>
      <c r="H99" s="10" t="str">
        <f>IF(ABS(F99)&gt;=Threshold,"Yes","No")</f>
        <v>No</v>
      </c>
      <c r="I99" s="10" t="s">
        <v>18</v>
      </c>
    </row>
    <row r="100" spans="1:9">
      <c r="A100" s="10" t="s">
        <v>322</v>
      </c>
      <c r="B100" s="10" t="s">
        <v>55</v>
      </c>
      <c r="C100" s="10" t="s">
        <v>396</v>
      </c>
      <c r="D100" s="12">
        <f>SUMPRODUCT((Data!$A$2:$A$666=$A100)*(Data!$B$2:$B$666=$B100)*(Data!$C$2:$C$666=$C100)*(ISNUMBER(MATCH(Data!$D$2:$D$666,BaseMonths,0)))*Data!$E$2:$E$666)</f>
        <v>103635.77</v>
      </c>
      <c r="E100" s="12">
        <f>SUMPRODUCT((Data!$A$2:$A$666=$A100)*(Data!$B$2:$B$666=$B100)*(Data!$C$2:$C$666=$C100)*(ISNUMBER(MATCH(Data!$D$2:$D$666,CurrentMonths,0)))*Data!$E$2:$E$666)</f>
        <v>56285.14</v>
      </c>
      <c r="F100" s="12">
        <f>E100-D100</f>
        <v>-47350.63</v>
      </c>
      <c r="G100" s="13">
        <f>IF(D100=0,"",F100/ABS(D100))</f>
        <v>-0.45689466098432996</v>
      </c>
      <c r="H100" s="10" t="str">
        <f>IF(ABS(F100)&gt;=Threshold,"Yes","No")</f>
        <v>No</v>
      </c>
      <c r="I100" s="10" t="s">
        <v>18</v>
      </c>
    </row>
    <row r="101" spans="1:9">
      <c r="A101" s="10" t="s">
        <v>256</v>
      </c>
      <c r="B101" s="10" t="s">
        <v>67</v>
      </c>
      <c r="C101" s="10" t="s">
        <v>257</v>
      </c>
      <c r="D101" s="12">
        <f>SUMPRODUCT((Data!$A$2:$A$666=$A101)*(Data!$B$2:$B$666=$B101)*(Data!$C$2:$C$666=$C101)*(ISNUMBER(MATCH(Data!$D$2:$D$666,BaseMonths,0)))*Data!$E$2:$E$666)</f>
        <v>80118.62</v>
      </c>
      <c r="E101" s="12">
        <f>SUMPRODUCT((Data!$A$2:$A$666=$A101)*(Data!$B$2:$B$666=$B101)*(Data!$C$2:$C$666=$C101)*(ISNUMBER(MATCH(Data!$D$2:$D$666,CurrentMonths,0)))*Data!$E$2:$E$666)</f>
        <v>34086.97</v>
      </c>
      <c r="F101" s="12">
        <f>E101-D101</f>
        <v>-46031.65</v>
      </c>
      <c r="G101" s="13">
        <f>IF(D101=0,"",F101/ABS(D101))</f>
        <v>-0.5745437202987271</v>
      </c>
      <c r="H101" s="10" t="str">
        <f>IF(ABS(F101)&gt;=Threshold,"Yes","No")</f>
        <v>No</v>
      </c>
      <c r="I101" s="10" t="s">
        <v>18</v>
      </c>
    </row>
    <row r="102" spans="1:9">
      <c r="A102" s="10" t="s">
        <v>305</v>
      </c>
      <c r="B102" s="10" t="s">
        <v>67</v>
      </c>
      <c r="C102" s="10" t="s">
        <v>311</v>
      </c>
      <c r="D102" s="12">
        <f>SUMPRODUCT((Data!$A$2:$A$666=$A102)*(Data!$B$2:$B$666=$B102)*(Data!$C$2:$C$666=$C102)*(ISNUMBER(MATCH(Data!$D$2:$D$666,BaseMonths,0)))*Data!$E$2:$E$666)</f>
        <v>160067.38</v>
      </c>
      <c r="E102" s="12">
        <f>SUMPRODUCT((Data!$A$2:$A$666=$A102)*(Data!$B$2:$B$666=$B102)*(Data!$C$2:$C$666=$C102)*(ISNUMBER(MATCH(Data!$D$2:$D$666,CurrentMonths,0)))*Data!$E$2:$E$666)</f>
        <v>205830.21</v>
      </c>
      <c r="F102" s="12">
        <f>E102-D102</f>
        <v>45762.83</v>
      </c>
      <c r="G102" s="13">
        <f>IF(D102=0,"",F102/ABS(D102))</f>
        <v>0.2858972890041681</v>
      </c>
      <c r="H102" s="10" t="str">
        <f>IF(ABS(F102)&gt;=Threshold,"Yes","No")</f>
        <v>No</v>
      </c>
      <c r="I102" s="10" t="s">
        <v>18</v>
      </c>
    </row>
    <row r="103" spans="1:9">
      <c r="A103" s="10" t="s">
        <v>70</v>
      </c>
      <c r="B103" s="10" t="s">
        <v>55</v>
      </c>
      <c r="C103" s="10" t="s">
        <v>82</v>
      </c>
      <c r="D103" s="12">
        <f>SUMPRODUCT((Data!$A$2:$A$666=$A103)*(Data!$B$2:$B$666=$B103)*(Data!$C$2:$C$666=$C103)*(ISNUMBER(MATCH(Data!$D$2:$D$666,BaseMonths,0)))*Data!$E$2:$E$666)</f>
        <v>14365.38</v>
      </c>
      <c r="E103" s="12">
        <f>SUMPRODUCT((Data!$A$2:$A$666=$A103)*(Data!$B$2:$B$666=$B103)*(Data!$C$2:$C$666=$C103)*(ISNUMBER(MATCH(Data!$D$2:$D$666,CurrentMonths,0)))*Data!$E$2:$E$666)</f>
        <v>59138.48</v>
      </c>
      <c r="F103" s="12">
        <f>E103-D103</f>
        <v>44773.1</v>
      </c>
      <c r="G103" s="13">
        <f>IF(D103=0,"",F103/ABS(D103))</f>
        <v>3.1167362088576844</v>
      </c>
      <c r="H103" s="10" t="str">
        <f>IF(ABS(F103)&gt;=Threshold,"Yes","No")</f>
        <v>No</v>
      </c>
      <c r="I103" s="10" t="s">
        <v>18</v>
      </c>
    </row>
    <row r="104" spans="1:9">
      <c r="A104" s="10" t="s">
        <v>276</v>
      </c>
      <c r="B104" s="10" t="s">
        <v>67</v>
      </c>
      <c r="C104" s="10" t="s">
        <v>277</v>
      </c>
      <c r="D104" s="12">
        <f>SUMPRODUCT((Data!$A$2:$A$666=$A104)*(Data!$B$2:$B$666=$B104)*(Data!$C$2:$C$666=$C104)*(ISNUMBER(MATCH(Data!$D$2:$D$666,BaseMonths,0)))*Data!$E$2:$E$666)</f>
        <v>75165.44</v>
      </c>
      <c r="E104" s="12">
        <f>SUMPRODUCT((Data!$A$2:$A$666=$A104)*(Data!$B$2:$B$666=$B104)*(Data!$C$2:$C$666=$C104)*(ISNUMBER(MATCH(Data!$D$2:$D$666,CurrentMonths,0)))*Data!$E$2:$E$666)</f>
        <v>30494.49</v>
      </c>
      <c r="F104" s="12">
        <f>E104-D104</f>
        <v>-44670.95</v>
      </c>
      <c r="G104" s="13">
        <f>IF(D104=0,"",F104/ABS(D104))</f>
        <v>-0.594301716320692</v>
      </c>
      <c r="H104" s="10" t="str">
        <f>IF(ABS(F104)&gt;=Threshold,"Yes","No")</f>
        <v>No</v>
      </c>
      <c r="I104" s="10" t="s">
        <v>18</v>
      </c>
    </row>
    <row r="105" spans="1:9">
      <c r="A105" s="10" t="s">
        <v>208</v>
      </c>
      <c r="B105" s="10" t="s">
        <v>55</v>
      </c>
      <c r="C105" s="10" t="s">
        <v>211</v>
      </c>
      <c r="D105" s="12">
        <f>SUMPRODUCT((Data!$A$2:$A$666=$A105)*(Data!$B$2:$B$666=$B105)*(Data!$C$2:$C$666=$C105)*(ISNUMBER(MATCH(Data!$D$2:$D$666,BaseMonths,0)))*Data!$E$2:$E$666)</f>
        <v>117179.81</v>
      </c>
      <c r="E105" s="12">
        <f>SUMPRODUCT((Data!$A$2:$A$666=$A105)*(Data!$B$2:$B$666=$B105)*(Data!$C$2:$C$666=$C105)*(ISNUMBER(MATCH(Data!$D$2:$D$666,CurrentMonths,0)))*Data!$E$2:$E$666)</f>
        <v>72922.67</v>
      </c>
      <c r="F105" s="12">
        <f>E105-D105</f>
        <v>-44257.14</v>
      </c>
      <c r="G105" s="13">
        <f>IF(D105=0,"",F105/ABS(D105))</f>
        <v>-0.3776857122400181</v>
      </c>
      <c r="H105" s="10" t="str">
        <f>IF(ABS(F105)&gt;=Threshold,"Yes","No")</f>
        <v>No</v>
      </c>
      <c r="I105" s="10" t="s">
        <v>18</v>
      </c>
    </row>
    <row r="106" spans="1:9">
      <c r="A106" s="10" t="s">
        <v>33</v>
      </c>
      <c r="B106" s="10" t="s">
        <v>34</v>
      </c>
      <c r="C106" s="10" t="s">
        <v>47</v>
      </c>
      <c r="D106" s="12">
        <f>SUMPRODUCT((Data!$A$2:$A$666=$A106)*(Data!$B$2:$B$666=$B106)*(Data!$C$2:$C$666=$C106)*(ISNUMBER(MATCH(Data!$D$2:$D$666,BaseMonths,0)))*Data!$E$2:$E$666)</f>
        <v>25522.09</v>
      </c>
      <c r="E106" s="12">
        <f>SUMPRODUCT((Data!$A$2:$A$666=$A106)*(Data!$B$2:$B$666=$B106)*(Data!$C$2:$C$666=$C106)*(ISNUMBER(MATCH(Data!$D$2:$D$666,CurrentMonths,0)))*Data!$E$2:$E$666)</f>
        <v>69527.69</v>
      </c>
      <c r="F106" s="12">
        <f>E106-D106</f>
        <v>44005.6</v>
      </c>
      <c r="G106" s="13">
        <f>IF(D106=0,"",F106/ABS(D106))</f>
        <v>1.7242161594132768</v>
      </c>
      <c r="H106" s="10" t="str">
        <f>IF(ABS(F106)&gt;=Threshold,"Yes","No")</f>
        <v>No</v>
      </c>
      <c r="I106" s="10" t="s">
        <v>18</v>
      </c>
    </row>
    <row r="107" spans="1:9">
      <c r="A107" s="10" t="s">
        <v>322</v>
      </c>
      <c r="B107" s="10" t="s">
        <v>55</v>
      </c>
      <c r="C107" s="10" t="s">
        <v>355</v>
      </c>
      <c r="D107" s="12">
        <f>SUMPRODUCT((Data!$A$2:$A$666=$A107)*(Data!$B$2:$B$666=$B107)*(Data!$C$2:$C$666=$C107)*(ISNUMBER(MATCH(Data!$D$2:$D$666,BaseMonths,0)))*Data!$E$2:$E$666)</f>
        <v>81498.09</v>
      </c>
      <c r="E107" s="12">
        <f>SUMPRODUCT((Data!$A$2:$A$666=$A107)*(Data!$B$2:$B$666=$B107)*(Data!$C$2:$C$666=$C107)*(ISNUMBER(MATCH(Data!$D$2:$D$666,CurrentMonths,0)))*Data!$E$2:$E$666)</f>
        <v>37787.45</v>
      </c>
      <c r="F107" s="12">
        <f>E107-D107</f>
        <v>-43710.64</v>
      </c>
      <c r="G107" s="13">
        <f>IF(D107=0,"",F107/ABS(D107))</f>
        <v>-0.536339440593025</v>
      </c>
      <c r="H107" s="10" t="str">
        <f>IF(ABS(F107)&gt;=Threshold,"Yes","No")</f>
        <v>No</v>
      </c>
      <c r="I107" s="10" t="s">
        <v>18</v>
      </c>
    </row>
    <row r="108" spans="1:9">
      <c r="A108" s="10" t="s">
        <v>305</v>
      </c>
      <c r="B108" s="10" t="s">
        <v>67</v>
      </c>
      <c r="C108" s="10" t="s">
        <v>313</v>
      </c>
      <c r="D108" s="12">
        <f>SUMPRODUCT((Data!$A$2:$A$666=$A108)*(Data!$B$2:$B$666=$B108)*(Data!$C$2:$C$666=$C108)*(ISNUMBER(MATCH(Data!$D$2:$D$666,BaseMonths,0)))*Data!$E$2:$E$666)</f>
        <v>137395.21</v>
      </c>
      <c r="E108" s="12">
        <f>SUMPRODUCT((Data!$A$2:$A$666=$A108)*(Data!$B$2:$B$666=$B108)*(Data!$C$2:$C$666=$C108)*(ISNUMBER(MATCH(Data!$D$2:$D$666,CurrentMonths,0)))*Data!$E$2:$E$666)</f>
        <v>93969.0</v>
      </c>
      <c r="F108" s="12">
        <f>E108-D108</f>
        <v>-43426.21</v>
      </c>
      <c r="G108" s="13">
        <f>IF(D108=0,"",F108/ABS(D108))</f>
        <v>-0.3160678600076378</v>
      </c>
      <c r="H108" s="10" t="str">
        <f>IF(ABS(F108)&gt;=Threshold,"Yes","No")</f>
        <v>No</v>
      </c>
      <c r="I108" s="10" t="s">
        <v>18</v>
      </c>
    </row>
    <row r="109" spans="1:9">
      <c r="A109" s="10" t="s">
        <v>322</v>
      </c>
      <c r="B109" s="10" t="s">
        <v>55</v>
      </c>
      <c r="C109" s="10" t="s">
        <v>385</v>
      </c>
      <c r="D109" s="12">
        <f>SUMPRODUCT((Data!$A$2:$A$666=$A109)*(Data!$B$2:$B$666=$B109)*(Data!$C$2:$C$666=$C109)*(ISNUMBER(MATCH(Data!$D$2:$D$666,BaseMonths,0)))*Data!$E$2:$E$666)</f>
        <v>39358.51</v>
      </c>
      <c r="E109" s="12">
        <f>SUMPRODUCT((Data!$A$2:$A$666=$A109)*(Data!$B$2:$B$666=$B109)*(Data!$C$2:$C$666=$C109)*(ISNUMBER(MATCH(Data!$D$2:$D$666,CurrentMonths,0)))*Data!$E$2:$E$666)</f>
        <v>82457.88</v>
      </c>
      <c r="F109" s="12">
        <f>E109-D109</f>
        <v>43099.37</v>
      </c>
      <c r="G109" s="13">
        <f>IF(D109=0,"",F109/ABS(D109))</f>
        <v>1.0950457728201601</v>
      </c>
      <c r="H109" s="10" t="str">
        <f>IF(ABS(F109)&gt;=Threshold,"Yes","No")</f>
        <v>No</v>
      </c>
      <c r="I109" s="10" t="s">
        <v>18</v>
      </c>
    </row>
    <row r="110" spans="1:9">
      <c r="A110" s="10" t="s">
        <v>322</v>
      </c>
      <c r="B110" s="10" t="s">
        <v>55</v>
      </c>
      <c r="C110" s="10" t="s">
        <v>380</v>
      </c>
      <c r="D110" s="12">
        <f>SUMPRODUCT((Data!$A$2:$A$666=$A110)*(Data!$B$2:$B$666=$B110)*(Data!$C$2:$C$666=$C110)*(ISNUMBER(MATCH(Data!$D$2:$D$666,BaseMonths,0)))*Data!$E$2:$E$666)</f>
        <v>91885.0</v>
      </c>
      <c r="E110" s="12">
        <f>SUMPRODUCT((Data!$A$2:$A$666=$A110)*(Data!$B$2:$B$666=$B110)*(Data!$C$2:$C$666=$C110)*(ISNUMBER(MATCH(Data!$D$2:$D$666,CurrentMonths,0)))*Data!$E$2:$E$666)</f>
        <v>49136.16</v>
      </c>
      <c r="F110" s="12">
        <f>E110-D110</f>
        <v>-42748.84</v>
      </c>
      <c r="G110" s="13">
        <f>IF(D110=0,"",F110/ABS(D110))</f>
        <v>-0.46524285792022635</v>
      </c>
      <c r="H110" s="10" t="str">
        <f>IF(ABS(F110)&gt;=Threshold,"Yes","No")</f>
        <v>No</v>
      </c>
      <c r="I110" s="10" t="s">
        <v>18</v>
      </c>
    </row>
    <row r="111" spans="1:9">
      <c r="A111" s="10" t="s">
        <v>152</v>
      </c>
      <c r="B111" s="10" t="s">
        <v>34</v>
      </c>
      <c r="C111" s="10" t="s">
        <v>154</v>
      </c>
      <c r="D111" s="12">
        <f>SUMPRODUCT((Data!$A$2:$A$666=$A111)*(Data!$B$2:$B$666=$B111)*(Data!$C$2:$C$666=$C111)*(ISNUMBER(MATCH(Data!$D$2:$D$666,BaseMonths,0)))*Data!$E$2:$E$666)</f>
        <v>19440.53</v>
      </c>
      <c r="E111" s="12">
        <f>SUMPRODUCT((Data!$A$2:$A$666=$A111)*(Data!$B$2:$B$666=$B111)*(Data!$C$2:$C$666=$C111)*(ISNUMBER(MATCH(Data!$D$2:$D$666,CurrentMonths,0)))*Data!$E$2:$E$666)</f>
        <v>60819.26</v>
      </c>
      <c r="F111" s="12">
        <f>E111-D111</f>
        <v>41378.73</v>
      </c>
      <c r="G111" s="13">
        <f>IF(D111=0,"",F111/ABS(D111))</f>
        <v>2.128477464348966</v>
      </c>
      <c r="H111" s="10" t="str">
        <f>IF(ABS(F111)&gt;=Threshold,"Yes","No")</f>
        <v>No</v>
      </c>
      <c r="I111" s="10" t="s">
        <v>18</v>
      </c>
    </row>
    <row r="112" spans="1:9">
      <c r="A112" s="10" t="s">
        <v>322</v>
      </c>
      <c r="B112" s="10" t="s">
        <v>55</v>
      </c>
      <c r="C112" s="10" t="s">
        <v>357</v>
      </c>
      <c r="D112" s="12">
        <f>SUMPRODUCT((Data!$A$2:$A$666=$A112)*(Data!$B$2:$B$666=$B112)*(Data!$C$2:$C$666=$C112)*(ISNUMBER(MATCH(Data!$D$2:$D$666,BaseMonths,0)))*Data!$E$2:$E$666)</f>
        <v>48774.31</v>
      </c>
      <c r="E112" s="12">
        <f>SUMPRODUCT((Data!$A$2:$A$666=$A112)*(Data!$B$2:$B$666=$B112)*(Data!$C$2:$C$666=$C112)*(ISNUMBER(MATCH(Data!$D$2:$D$666,CurrentMonths,0)))*Data!$E$2:$E$666)</f>
        <v>89976.42</v>
      </c>
      <c r="F112" s="12">
        <f>E112-D112</f>
        <v>41202.11</v>
      </c>
      <c r="G112" s="13">
        <f>IF(D112=0,"",F112/ABS(D112))</f>
        <v>0.8447502383939415</v>
      </c>
      <c r="H112" s="10" t="str">
        <f>IF(ABS(F112)&gt;=Threshold,"Yes","No")</f>
        <v>No</v>
      </c>
      <c r="I112" s="10" t="s">
        <v>18</v>
      </c>
    </row>
    <row r="113" spans="1:9">
      <c r="A113" s="10" t="s">
        <v>322</v>
      </c>
      <c r="B113" s="10" t="s">
        <v>55</v>
      </c>
      <c r="C113" s="10" t="s">
        <v>363</v>
      </c>
      <c r="D113" s="12">
        <f>SUMPRODUCT((Data!$A$2:$A$666=$A113)*(Data!$B$2:$B$666=$B113)*(Data!$C$2:$C$666=$C113)*(ISNUMBER(MATCH(Data!$D$2:$D$666,BaseMonths,0)))*Data!$E$2:$E$666)</f>
        <v>61874.69</v>
      </c>
      <c r="E113" s="12">
        <f>SUMPRODUCT((Data!$A$2:$A$666=$A113)*(Data!$B$2:$B$666=$B113)*(Data!$C$2:$C$666=$C113)*(ISNUMBER(MATCH(Data!$D$2:$D$666,CurrentMonths,0)))*Data!$E$2:$E$666)</f>
        <v>21726.68</v>
      </c>
      <c r="F113" s="12">
        <f>E113-D113</f>
        <v>-40148.01</v>
      </c>
      <c r="G113" s="13">
        <f>IF(D113=0,"",F113/ABS(D113))</f>
        <v>-0.6488599781267591</v>
      </c>
      <c r="H113" s="10" t="str">
        <f>IF(ABS(F113)&gt;=Threshold,"Yes","No")</f>
        <v>No</v>
      </c>
      <c r="I113" s="10" t="s">
        <v>18</v>
      </c>
    </row>
    <row r="114" spans="1:9">
      <c r="A114" s="10" t="s">
        <v>181</v>
      </c>
      <c r="B114" s="10" t="s">
        <v>34</v>
      </c>
      <c r="C114" s="10" t="s">
        <v>183</v>
      </c>
      <c r="D114" s="12">
        <f>SUMPRODUCT((Data!$A$2:$A$666=$A114)*(Data!$B$2:$B$666=$B114)*(Data!$C$2:$C$666=$C114)*(ISNUMBER(MATCH(Data!$D$2:$D$666,BaseMonths,0)))*Data!$E$2:$E$666)</f>
        <v>206028.25</v>
      </c>
      <c r="E114" s="12">
        <f>SUMPRODUCT((Data!$A$2:$A$666=$A114)*(Data!$B$2:$B$666=$B114)*(Data!$C$2:$C$666=$C114)*(ISNUMBER(MATCH(Data!$D$2:$D$666,CurrentMonths,0)))*Data!$E$2:$E$666)</f>
        <v>244559.94</v>
      </c>
      <c r="F114" s="12">
        <f>E114-D114</f>
        <v>38531.69</v>
      </c>
      <c r="G114" s="13">
        <f>IF(D114=0,"",F114/ABS(D114))</f>
        <v>0.18702139148393487</v>
      </c>
      <c r="H114" s="10" t="str">
        <f>IF(ABS(F114)&gt;=Threshold,"Yes","No")</f>
        <v>No</v>
      </c>
      <c r="I114" s="10" t="s">
        <v>18</v>
      </c>
    </row>
    <row r="115" spans="1:9">
      <c r="A115" s="10" t="s">
        <v>322</v>
      </c>
      <c r="B115" s="10" t="s">
        <v>55</v>
      </c>
      <c r="C115" s="10" t="s">
        <v>410</v>
      </c>
      <c r="D115" s="12">
        <f>SUMPRODUCT((Data!$A$2:$A$666=$A115)*(Data!$B$2:$B$666=$B115)*(Data!$C$2:$C$666=$C115)*(ISNUMBER(MATCH(Data!$D$2:$D$666,BaseMonths,0)))*Data!$E$2:$E$666)</f>
        <v>40490.36</v>
      </c>
      <c r="E115" s="12">
        <f>SUMPRODUCT((Data!$A$2:$A$666=$A115)*(Data!$B$2:$B$666=$B115)*(Data!$C$2:$C$666=$C115)*(ISNUMBER(MATCH(Data!$D$2:$D$666,CurrentMonths,0)))*Data!$E$2:$E$666)</f>
        <v>2143.88</v>
      </c>
      <c r="F115" s="12">
        <f>E115-D115</f>
        <v>-38346.48</v>
      </c>
      <c r="G115" s="13">
        <f>IF(D115=0,"",F115/ABS(D115))</f>
        <v>-0.9470520884477195</v>
      </c>
      <c r="H115" s="10" t="str">
        <f>IF(ABS(F115)&gt;=Threshold,"Yes","No")</f>
        <v>No</v>
      </c>
      <c r="I115" s="10" t="s">
        <v>18</v>
      </c>
    </row>
    <row r="116" spans="1:9">
      <c r="A116" s="10" t="s">
        <v>181</v>
      </c>
      <c r="B116" s="10" t="s">
        <v>34</v>
      </c>
      <c r="C116" s="10" t="s">
        <v>184</v>
      </c>
      <c r="D116" s="12">
        <f>SUMPRODUCT((Data!$A$2:$A$666=$A116)*(Data!$B$2:$B$666=$B116)*(Data!$C$2:$C$666=$C116)*(ISNUMBER(MATCH(Data!$D$2:$D$666,BaseMonths,0)))*Data!$E$2:$E$666)</f>
        <v>149286.33</v>
      </c>
      <c r="E116" s="12">
        <f>SUMPRODUCT((Data!$A$2:$A$666=$A116)*(Data!$B$2:$B$666=$B116)*(Data!$C$2:$C$666=$C116)*(ISNUMBER(MATCH(Data!$D$2:$D$666,CurrentMonths,0)))*Data!$E$2:$E$666)</f>
        <v>111101.49</v>
      </c>
      <c r="F116" s="12">
        <f>E116-D116</f>
        <v>-38184.84</v>
      </c>
      <c r="G116" s="13">
        <f>IF(D116=0,"",F116/ABS(D116))</f>
        <v>-0.255782562274791</v>
      </c>
      <c r="H116" s="10" t="str">
        <f>IF(ABS(F116)&gt;=Threshold,"Yes","No")</f>
        <v>No</v>
      </c>
      <c r="I116" s="10" t="s">
        <v>18</v>
      </c>
    </row>
    <row r="117" spans="1:9">
      <c r="A117" s="10" t="s">
        <v>322</v>
      </c>
      <c r="B117" s="10" t="s">
        <v>55</v>
      </c>
      <c r="C117" s="10" t="s">
        <v>347</v>
      </c>
      <c r="D117" s="12">
        <f>SUMPRODUCT((Data!$A$2:$A$666=$A117)*(Data!$B$2:$B$666=$B117)*(Data!$C$2:$C$666=$C117)*(ISNUMBER(MATCH(Data!$D$2:$D$666,BaseMonths,0)))*Data!$E$2:$E$666)</f>
        <v>39338.38</v>
      </c>
      <c r="E117" s="12">
        <f>SUMPRODUCT((Data!$A$2:$A$666=$A117)*(Data!$B$2:$B$666=$B117)*(Data!$C$2:$C$666=$C117)*(ISNUMBER(MATCH(Data!$D$2:$D$666,CurrentMonths,0)))*Data!$E$2:$E$666)</f>
        <v>1918.49</v>
      </c>
      <c r="F117" s="12">
        <f>E117-D117</f>
        <v>-37419.89</v>
      </c>
      <c r="G117" s="13">
        <f>IF(D117=0,"",F117/ABS(D117))</f>
        <v>-0.9512310878078863</v>
      </c>
      <c r="H117" s="10" t="str">
        <f>IF(ABS(F117)&gt;=Threshold,"Yes","No")</f>
        <v>No</v>
      </c>
      <c r="I117" s="10" t="s">
        <v>18</v>
      </c>
    </row>
    <row r="118" spans="1:9">
      <c r="A118" s="10" t="s">
        <v>70</v>
      </c>
      <c r="B118" s="10" t="s">
        <v>55</v>
      </c>
      <c r="C118" s="10" t="s">
        <v>85</v>
      </c>
      <c r="D118" s="12">
        <f>SUMPRODUCT((Data!$A$2:$A$666=$A118)*(Data!$B$2:$B$666=$B118)*(Data!$C$2:$C$666=$C118)*(ISNUMBER(MATCH(Data!$D$2:$D$666,BaseMonths,0)))*Data!$E$2:$E$666)</f>
        <v>6573.28</v>
      </c>
      <c r="E118" s="12">
        <f>SUMPRODUCT((Data!$A$2:$A$666=$A118)*(Data!$B$2:$B$666=$B118)*(Data!$C$2:$C$666=$C118)*(ISNUMBER(MATCH(Data!$D$2:$D$666,CurrentMonths,0)))*Data!$E$2:$E$666)</f>
        <v>42887.34</v>
      </c>
      <c r="F118" s="12">
        <f>E118-D118</f>
        <v>36314.06</v>
      </c>
      <c r="G118" s="13">
        <f>IF(D118=0,"",F118/ABS(D118))</f>
        <v>5.524496141956527</v>
      </c>
      <c r="H118" s="10" t="str">
        <f>IF(ABS(F118)&gt;=Threshold,"Yes","No")</f>
        <v>No</v>
      </c>
      <c r="I118" s="10" t="s">
        <v>18</v>
      </c>
    </row>
    <row r="119" spans="1:9">
      <c r="A119" s="10" t="s">
        <v>322</v>
      </c>
      <c r="B119" s="10" t="s">
        <v>55</v>
      </c>
      <c r="C119" s="10" t="s">
        <v>341</v>
      </c>
      <c r="D119" s="12">
        <f>SUMPRODUCT((Data!$A$2:$A$666=$A119)*(Data!$B$2:$B$666=$B119)*(Data!$C$2:$C$666=$C119)*(ISNUMBER(MATCH(Data!$D$2:$D$666,BaseMonths,0)))*Data!$E$2:$E$666)</f>
        <v>108788.83</v>
      </c>
      <c r="E119" s="12">
        <f>SUMPRODUCT((Data!$A$2:$A$666=$A119)*(Data!$B$2:$B$666=$B119)*(Data!$C$2:$C$666=$C119)*(ISNUMBER(MATCH(Data!$D$2:$D$666,CurrentMonths,0)))*Data!$E$2:$E$666)</f>
        <v>73566.34</v>
      </c>
      <c r="F119" s="12">
        <f>E119-D119</f>
        <v>-35222.49</v>
      </c>
      <c r="G119" s="13">
        <f>IF(D119=0,"",F119/ABS(D119))</f>
        <v>-0.32376936124784134</v>
      </c>
      <c r="H119" s="10" t="str">
        <f>IF(ABS(F119)&gt;=Threshold,"Yes","No")</f>
        <v>No</v>
      </c>
      <c r="I119" s="10" t="s">
        <v>18</v>
      </c>
    </row>
    <row r="120" spans="1:9">
      <c r="A120" s="10" t="s">
        <v>300</v>
      </c>
      <c r="B120" s="10" t="s">
        <v>67</v>
      </c>
      <c r="C120" s="10" t="s">
        <v>304</v>
      </c>
      <c r="D120" s="12">
        <f>SUMPRODUCT((Data!$A$2:$A$666=$A120)*(Data!$B$2:$B$666=$B120)*(Data!$C$2:$C$666=$C120)*(ISNUMBER(MATCH(Data!$D$2:$D$666,BaseMonths,0)))*Data!$E$2:$E$666)</f>
        <v>58549.42</v>
      </c>
      <c r="E120" s="12">
        <f>SUMPRODUCT((Data!$A$2:$A$666=$A120)*(Data!$B$2:$B$666=$B120)*(Data!$C$2:$C$666=$C120)*(ISNUMBER(MATCH(Data!$D$2:$D$666,CurrentMonths,0)))*Data!$E$2:$E$666)</f>
        <v>23971.62</v>
      </c>
      <c r="F120" s="12">
        <f>E120-D120</f>
        <v>-34577.8</v>
      </c>
      <c r="G120" s="13">
        <f>IF(D120=0,"",F120/ABS(D120))</f>
        <v>-0.5905745949319396</v>
      </c>
      <c r="H120" s="10" t="str">
        <f>IF(ABS(F120)&gt;=Threshold,"Yes","No")</f>
        <v>No</v>
      </c>
      <c r="I120" s="10" t="s">
        <v>18</v>
      </c>
    </row>
    <row r="121" spans="1:9">
      <c r="A121" s="10" t="s">
        <v>284</v>
      </c>
      <c r="B121" s="10" t="s">
        <v>67</v>
      </c>
      <c r="C121" s="10" t="s">
        <v>287</v>
      </c>
      <c r="D121" s="12">
        <f>SUMPRODUCT((Data!$A$2:$A$666=$A121)*(Data!$B$2:$B$666=$B121)*(Data!$C$2:$C$666=$C121)*(ISNUMBER(MATCH(Data!$D$2:$D$666,BaseMonths,0)))*Data!$E$2:$E$666)</f>
        <v>56280.88</v>
      </c>
      <c r="E121" s="12">
        <f>SUMPRODUCT((Data!$A$2:$A$666=$A121)*(Data!$B$2:$B$666=$B121)*(Data!$C$2:$C$666=$C121)*(ISNUMBER(MATCH(Data!$D$2:$D$666,CurrentMonths,0)))*Data!$E$2:$E$666)</f>
        <v>21703.73</v>
      </c>
      <c r="F121" s="12">
        <f>E121-D121</f>
        <v>-34577.15</v>
      </c>
      <c r="G121" s="13">
        <f>IF(D121=0,"",F121/ABS(D121))</f>
        <v>-0.6143676147210207</v>
      </c>
      <c r="H121" s="10" t="str">
        <f>IF(ABS(F121)&gt;=Threshold,"Yes","No")</f>
        <v>No</v>
      </c>
      <c r="I121" s="10" t="s">
        <v>18</v>
      </c>
    </row>
    <row r="122" spans="1:9">
      <c r="A122" s="10" t="s">
        <v>70</v>
      </c>
      <c r="B122" s="10" t="s">
        <v>55</v>
      </c>
      <c r="C122" s="10" t="s">
        <v>84</v>
      </c>
      <c r="D122" s="12">
        <f>SUMPRODUCT((Data!$A$2:$A$666=$A122)*(Data!$B$2:$B$666=$B122)*(Data!$C$2:$C$666=$C122)*(ISNUMBER(MATCH(Data!$D$2:$D$666,BaseMonths,0)))*Data!$E$2:$E$666)</f>
        <v>19752.85</v>
      </c>
      <c r="E122" s="12">
        <f>SUMPRODUCT((Data!$A$2:$A$666=$A122)*(Data!$B$2:$B$666=$B122)*(Data!$C$2:$C$666=$C122)*(ISNUMBER(MATCH(Data!$D$2:$D$666,CurrentMonths,0)))*Data!$E$2:$E$666)</f>
        <v>53467.63</v>
      </c>
      <c r="F122" s="12">
        <f>E122-D122</f>
        <v>33714.78</v>
      </c>
      <c r="G122" s="13">
        <f>IF(D122=0,"",F122/ABS(D122))</f>
        <v>1.7068311661355198</v>
      </c>
      <c r="H122" s="10" t="str">
        <f>IF(ABS(F122)&gt;=Threshold,"Yes","No")</f>
        <v>No</v>
      </c>
      <c r="I122" s="10" t="s">
        <v>18</v>
      </c>
    </row>
    <row r="123" spans="1:9">
      <c r="A123" s="10" t="s">
        <v>322</v>
      </c>
      <c r="B123" s="10" t="s">
        <v>55</v>
      </c>
      <c r="C123" s="10" t="s">
        <v>338</v>
      </c>
      <c r="D123" s="12">
        <f>SUMPRODUCT((Data!$A$2:$A$666=$A123)*(Data!$B$2:$B$666=$B123)*(Data!$C$2:$C$666=$C123)*(ISNUMBER(MATCH(Data!$D$2:$D$666,BaseMonths,0)))*Data!$E$2:$E$666)</f>
        <v>17527.88</v>
      </c>
      <c r="E123" s="12">
        <f>SUMPRODUCT((Data!$A$2:$A$666=$A123)*(Data!$B$2:$B$666=$B123)*(Data!$C$2:$C$666=$C123)*(ISNUMBER(MATCH(Data!$D$2:$D$666,CurrentMonths,0)))*Data!$E$2:$E$666)</f>
        <v>50256.28</v>
      </c>
      <c r="F123" s="12">
        <f>E123-D123</f>
        <v>32728.4</v>
      </c>
      <c r="G123" s="13">
        <f>IF(D123=0,"",F123/ABS(D123))</f>
        <v>1.8672195382442143</v>
      </c>
      <c r="H123" s="10" t="str">
        <f>IF(ABS(F123)&gt;=Threshold,"Yes","No")</f>
        <v>No</v>
      </c>
      <c r="I123" s="10" t="s">
        <v>18</v>
      </c>
    </row>
    <row r="124" spans="1:9">
      <c r="A124" s="10" t="s">
        <v>33</v>
      </c>
      <c r="B124" s="10" t="s">
        <v>34</v>
      </c>
      <c r="C124" s="10" t="s">
        <v>37</v>
      </c>
      <c r="D124" s="12">
        <f>SUMPRODUCT((Data!$A$2:$A$666=$A124)*(Data!$B$2:$B$666=$B124)*(Data!$C$2:$C$666=$C124)*(ISNUMBER(MATCH(Data!$D$2:$D$666,BaseMonths,0)))*Data!$E$2:$E$666)</f>
        <v>46074.06</v>
      </c>
      <c r="E124" s="12">
        <f>SUMPRODUCT((Data!$A$2:$A$666=$A124)*(Data!$B$2:$B$666=$B124)*(Data!$C$2:$C$666=$C124)*(ISNUMBER(MATCH(Data!$D$2:$D$666,CurrentMonths,0)))*Data!$E$2:$E$666)</f>
        <v>13900.67</v>
      </c>
      <c r="F124" s="12">
        <f>E124-D124</f>
        <v>-32173.39</v>
      </c>
      <c r="G124" s="13">
        <f>IF(D124=0,"",F124/ABS(D124))</f>
        <v>-0.6982972631454663</v>
      </c>
      <c r="H124" s="10" t="str">
        <f>IF(ABS(F124)&gt;=Threshold,"Yes","No")</f>
        <v>No</v>
      </c>
      <c r="I124" s="10" t="s">
        <v>18</v>
      </c>
    </row>
    <row r="125" spans="1:9">
      <c r="A125" s="10" t="s">
        <v>70</v>
      </c>
      <c r="B125" s="10" t="s">
        <v>55</v>
      </c>
      <c r="C125" s="10" t="s">
        <v>74</v>
      </c>
      <c r="D125" s="12">
        <f>SUMPRODUCT((Data!$A$2:$A$666=$A125)*(Data!$B$2:$B$666=$B125)*(Data!$C$2:$C$666=$C125)*(ISNUMBER(MATCH(Data!$D$2:$D$666,BaseMonths,0)))*Data!$E$2:$E$666)</f>
        <v>55014.73</v>
      </c>
      <c r="E125" s="12">
        <f>SUMPRODUCT((Data!$A$2:$A$666=$A125)*(Data!$B$2:$B$666=$B125)*(Data!$C$2:$C$666=$C125)*(ISNUMBER(MATCH(Data!$D$2:$D$666,CurrentMonths,0)))*Data!$E$2:$E$666)</f>
        <v>22881.64</v>
      </c>
      <c r="F125" s="12">
        <f>E125-D125</f>
        <v>-32133.09</v>
      </c>
      <c r="G125" s="13">
        <f>IF(D125=0,"",F125/ABS(D125))</f>
        <v>-0.5840815723352636</v>
      </c>
      <c r="H125" s="10" t="str">
        <f>IF(ABS(F125)&gt;=Threshold,"Yes","No")</f>
        <v>No</v>
      </c>
      <c r="I125" s="10" t="s">
        <v>18</v>
      </c>
    </row>
    <row r="126" spans="1:9">
      <c r="A126" s="10" t="s">
        <v>33</v>
      </c>
      <c r="B126" s="10" t="s">
        <v>34</v>
      </c>
      <c r="C126" s="10" t="s">
        <v>38</v>
      </c>
      <c r="D126" s="12">
        <f>SUMPRODUCT((Data!$A$2:$A$666=$A126)*(Data!$B$2:$B$666=$B126)*(Data!$C$2:$C$666=$C126)*(ISNUMBER(MATCH(Data!$D$2:$D$666,BaseMonths,0)))*Data!$E$2:$E$666)</f>
        <v>46448.88</v>
      </c>
      <c r="E126" s="12">
        <f>SUMPRODUCT((Data!$A$2:$A$666=$A126)*(Data!$B$2:$B$666=$B126)*(Data!$C$2:$C$666=$C126)*(ISNUMBER(MATCH(Data!$D$2:$D$666,CurrentMonths,0)))*Data!$E$2:$E$666)</f>
        <v>78530.53</v>
      </c>
      <c r="F126" s="12">
        <f>E126-D126</f>
        <v>32081.65</v>
      </c>
      <c r="G126" s="13">
        <f>IF(D126=0,"",F126/ABS(D126))</f>
        <v>0.6906872673786753</v>
      </c>
      <c r="H126" s="10" t="str">
        <f>IF(ABS(F126)&gt;=Threshold,"Yes","No")</f>
        <v>No</v>
      </c>
      <c r="I126" s="10" t="s">
        <v>18</v>
      </c>
    </row>
    <row r="127" spans="1:9">
      <c r="A127" s="10" t="s">
        <v>54</v>
      </c>
      <c r="B127" s="10" t="s">
        <v>55</v>
      </c>
      <c r="C127" s="10" t="s">
        <v>59</v>
      </c>
      <c r="D127" s="12">
        <f>SUMPRODUCT((Data!$A$2:$A$666=$A127)*(Data!$B$2:$B$666=$B127)*(Data!$C$2:$C$666=$C127)*(ISNUMBER(MATCH(Data!$D$2:$D$666,BaseMonths,0)))*Data!$E$2:$E$666)</f>
        <v>63969.39</v>
      </c>
      <c r="E127" s="12">
        <f>SUMPRODUCT((Data!$A$2:$A$666=$A127)*(Data!$B$2:$B$666=$B127)*(Data!$C$2:$C$666=$C127)*(ISNUMBER(MATCH(Data!$D$2:$D$666,CurrentMonths,0)))*Data!$E$2:$E$666)</f>
        <v>32215.88</v>
      </c>
      <c r="F127" s="12">
        <f>E127-D127</f>
        <v>-31753.51</v>
      </c>
      <c r="G127" s="13">
        <f>IF(D127=0,"",F127/ABS(D127))</f>
        <v>-0.4963860058693697</v>
      </c>
      <c r="H127" s="10" t="str">
        <f>IF(ABS(F127)&gt;=Threshold,"Yes","No")</f>
        <v>No</v>
      </c>
      <c r="I127" s="10" t="s">
        <v>18</v>
      </c>
    </row>
    <row r="128" spans="1:9">
      <c r="A128" s="10" t="s">
        <v>33</v>
      </c>
      <c r="B128" s="10" t="s">
        <v>34</v>
      </c>
      <c r="C128" s="10" t="s">
        <v>39</v>
      </c>
      <c r="D128" s="12">
        <f>SUMPRODUCT((Data!$A$2:$A$666=$A128)*(Data!$B$2:$B$666=$B128)*(Data!$C$2:$C$666=$C128)*(ISNUMBER(MATCH(Data!$D$2:$D$666,BaseMonths,0)))*Data!$E$2:$E$666)</f>
        <v>22980.71</v>
      </c>
      <c r="E128" s="12">
        <f>SUMPRODUCT((Data!$A$2:$A$666=$A128)*(Data!$B$2:$B$666=$B128)*(Data!$C$2:$C$666=$C128)*(ISNUMBER(MATCH(Data!$D$2:$D$666,CurrentMonths,0)))*Data!$E$2:$E$666)</f>
        <v>53974.01</v>
      </c>
      <c r="F128" s="12">
        <f>E128-D128</f>
        <v>30993.3</v>
      </c>
      <c r="G128" s="13">
        <f>IF(D128=0,"",F128/ABS(D128))</f>
        <v>1.3486659028376409</v>
      </c>
      <c r="H128" s="10" t="str">
        <f>IF(ABS(F128)&gt;=Threshold,"Yes","No")</f>
        <v>No</v>
      </c>
      <c r="I128" s="10" t="s">
        <v>18</v>
      </c>
    </row>
    <row r="129" spans="1:9">
      <c r="A129" s="10" t="s">
        <v>152</v>
      </c>
      <c r="B129" s="10" t="s">
        <v>34</v>
      </c>
      <c r="C129" s="10" t="s">
        <v>155</v>
      </c>
      <c r="D129" s="12">
        <f>SUMPRODUCT((Data!$A$2:$A$666=$A129)*(Data!$B$2:$B$666=$B129)*(Data!$C$2:$C$666=$C129)*(ISNUMBER(MATCH(Data!$D$2:$D$666,BaseMonths,0)))*Data!$E$2:$E$666)</f>
        <v>28145.03</v>
      </c>
      <c r="E129" s="12">
        <f>SUMPRODUCT((Data!$A$2:$A$666=$A129)*(Data!$B$2:$B$666=$B129)*(Data!$C$2:$C$666=$C129)*(ISNUMBER(MATCH(Data!$D$2:$D$666,CurrentMonths,0)))*Data!$E$2:$E$666)</f>
        <v>58903.61</v>
      </c>
      <c r="F129" s="12">
        <f>E129-D129</f>
        <v>30758.58</v>
      </c>
      <c r="G129" s="13">
        <f>IF(D129=0,"",F129/ABS(D129))</f>
        <v>1.092860089330159</v>
      </c>
      <c r="H129" s="10" t="str">
        <f>IF(ABS(F129)&gt;=Threshold,"Yes","No")</f>
        <v>No</v>
      </c>
      <c r="I129" s="10" t="s">
        <v>18</v>
      </c>
    </row>
    <row r="130" spans="1:9">
      <c r="A130" s="10" t="s">
        <v>70</v>
      </c>
      <c r="B130" s="10" t="s">
        <v>55</v>
      </c>
      <c r="C130" s="10" t="s">
        <v>72</v>
      </c>
      <c r="D130" s="12">
        <f>SUMPRODUCT((Data!$A$2:$A$666=$A130)*(Data!$B$2:$B$666=$B130)*(Data!$C$2:$C$666=$C130)*(ISNUMBER(MATCH(Data!$D$2:$D$666,BaseMonths,0)))*Data!$E$2:$E$666)</f>
        <v>41368.82</v>
      </c>
      <c r="E130" s="12">
        <f>SUMPRODUCT((Data!$A$2:$A$666=$A130)*(Data!$B$2:$B$666=$B130)*(Data!$C$2:$C$666=$C130)*(ISNUMBER(MATCH(Data!$D$2:$D$666,CurrentMonths,0)))*Data!$E$2:$E$666)</f>
        <v>10983.43</v>
      </c>
      <c r="F130" s="12">
        <f>E130-D130</f>
        <v>-30385.39</v>
      </c>
      <c r="G130" s="13">
        <f>IF(D130=0,"",F130/ABS(D130))</f>
        <v>-0.7344997996075305</v>
      </c>
      <c r="H130" s="10" t="str">
        <f>IF(ABS(F130)&gt;=Threshold,"Yes","No")</f>
        <v>No</v>
      </c>
      <c r="I130" s="10" t="s">
        <v>18</v>
      </c>
    </row>
    <row r="131" spans="1:9">
      <c r="A131" s="10" t="s">
        <v>181</v>
      </c>
      <c r="B131" s="10" t="s">
        <v>34</v>
      </c>
      <c r="C131" s="10" t="s">
        <v>194</v>
      </c>
      <c r="D131" s="12">
        <f>SUMPRODUCT((Data!$A$2:$A$666=$A131)*(Data!$B$2:$B$666=$B131)*(Data!$C$2:$C$666=$C131)*(ISNUMBER(MATCH(Data!$D$2:$D$666,BaseMonths,0)))*Data!$E$2:$E$666)</f>
        <v>88131.36</v>
      </c>
      <c r="E131" s="12">
        <f>SUMPRODUCT((Data!$A$2:$A$666=$A131)*(Data!$B$2:$B$666=$B131)*(Data!$C$2:$C$666=$C131)*(ISNUMBER(MATCH(Data!$D$2:$D$666,CurrentMonths,0)))*Data!$E$2:$E$666)</f>
        <v>58255.43</v>
      </c>
      <c r="F131" s="12">
        <f>E131-D131</f>
        <v>-29875.93</v>
      </c>
      <c r="G131" s="13">
        <f>IF(D131=0,"",F131/ABS(D131))</f>
        <v>-0.33899318018013114</v>
      </c>
      <c r="H131" s="10" t="str">
        <f>IF(ABS(F131)&gt;=Threshold,"Yes","No")</f>
        <v>No</v>
      </c>
      <c r="I131" s="10" t="s">
        <v>18</v>
      </c>
    </row>
    <row r="132" spans="1:9">
      <c r="A132" s="10" t="s">
        <v>123</v>
      </c>
      <c r="B132" s="10" t="s">
        <v>67</v>
      </c>
      <c r="C132" s="10" t="s">
        <v>136</v>
      </c>
      <c r="D132" s="12">
        <f>SUMPRODUCT((Data!$A$2:$A$666=$A132)*(Data!$B$2:$B$666=$B132)*(Data!$C$2:$C$666=$C132)*(ISNUMBER(MATCH(Data!$D$2:$D$666,BaseMonths,0)))*Data!$E$2:$E$666)</f>
        <v>70777.6</v>
      </c>
      <c r="E132" s="12">
        <f>SUMPRODUCT((Data!$A$2:$A$666=$A132)*(Data!$B$2:$B$666=$B132)*(Data!$C$2:$C$666=$C132)*(ISNUMBER(MATCH(Data!$D$2:$D$666,CurrentMonths,0)))*Data!$E$2:$E$666)</f>
        <v>41118.92</v>
      </c>
      <c r="F132" s="12">
        <f>E132-D132</f>
        <v>-29658.68</v>
      </c>
      <c r="G132" s="13">
        <f>IF(D132=0,"",F132/ABS(D132))</f>
        <v>-0.41904048738583954</v>
      </c>
      <c r="H132" s="10" t="str">
        <f>IF(ABS(F132)&gt;=Threshold,"Yes","No")</f>
        <v>No</v>
      </c>
      <c r="I132" s="10" t="s">
        <v>18</v>
      </c>
    </row>
    <row r="133" spans="1:9">
      <c r="A133" s="10" t="s">
        <v>322</v>
      </c>
      <c r="B133" s="10" t="s">
        <v>55</v>
      </c>
      <c r="C133" s="10" t="s">
        <v>328</v>
      </c>
      <c r="D133" s="12">
        <f>SUMPRODUCT((Data!$A$2:$A$666=$A133)*(Data!$B$2:$B$666=$B133)*(Data!$C$2:$C$666=$C133)*(ISNUMBER(MATCH(Data!$D$2:$D$666,BaseMonths,0)))*Data!$E$2:$E$666)</f>
        <v>80230.94</v>
      </c>
      <c r="E133" s="12">
        <f>SUMPRODUCT((Data!$A$2:$A$666=$A133)*(Data!$B$2:$B$666=$B133)*(Data!$C$2:$C$666=$C133)*(ISNUMBER(MATCH(Data!$D$2:$D$666,CurrentMonths,0)))*Data!$E$2:$E$666)</f>
        <v>50661.42</v>
      </c>
      <c r="F133" s="12">
        <f>E133-D133</f>
        <v>-29569.52</v>
      </c>
      <c r="G133" s="13">
        <f>IF(D133=0,"",F133/ABS(D133))</f>
        <v>-0.36855507364116635</v>
      </c>
      <c r="H133" s="10" t="str">
        <f>IF(ABS(F133)&gt;=Threshold,"Yes","No")</f>
        <v>No</v>
      </c>
      <c r="I133" s="10" t="s">
        <v>18</v>
      </c>
    </row>
    <row r="134" spans="1:9">
      <c r="A134" s="10" t="s">
        <v>213</v>
      </c>
      <c r="B134" s="10" t="s">
        <v>67</v>
      </c>
      <c r="C134" s="10" t="s">
        <v>215</v>
      </c>
      <c r="D134" s="12">
        <f>SUMPRODUCT((Data!$A$2:$A$666=$A134)*(Data!$B$2:$B$666=$B134)*(Data!$C$2:$C$666=$C134)*(ISNUMBER(MATCH(Data!$D$2:$D$666,BaseMonths,0)))*Data!$E$2:$E$666)</f>
        <v>44270.46</v>
      </c>
      <c r="E134" s="12">
        <f>SUMPRODUCT((Data!$A$2:$A$666=$A134)*(Data!$B$2:$B$666=$B134)*(Data!$C$2:$C$666=$C134)*(ISNUMBER(MATCH(Data!$D$2:$D$666,CurrentMonths,0)))*Data!$E$2:$E$666)</f>
        <v>15253.68</v>
      </c>
      <c r="F134" s="12">
        <f>E134-D134</f>
        <v>-29016.78</v>
      </c>
      <c r="G134" s="13">
        <f>IF(D134=0,"",F134/ABS(D134))</f>
        <v>-0.6554433814331272</v>
      </c>
      <c r="H134" s="10" t="str">
        <f>IF(ABS(F134)&gt;=Threshold,"Yes","No")</f>
        <v>No</v>
      </c>
      <c r="I134" s="10" t="s">
        <v>18</v>
      </c>
    </row>
    <row r="135" spans="1:9">
      <c r="A135" s="10" t="s">
        <v>202</v>
      </c>
      <c r="B135" s="10" t="s">
        <v>34</v>
      </c>
      <c r="C135" s="10" t="s">
        <v>205</v>
      </c>
      <c r="D135" s="12">
        <f>SUMPRODUCT((Data!$A$2:$A$666=$A135)*(Data!$B$2:$B$666=$B135)*(Data!$C$2:$C$666=$C135)*(ISNUMBER(MATCH(Data!$D$2:$D$666,BaseMonths,0)))*Data!$E$2:$E$666)</f>
        <v>20585.94</v>
      </c>
      <c r="E135" s="12">
        <f>SUMPRODUCT((Data!$A$2:$A$666=$A135)*(Data!$B$2:$B$666=$B135)*(Data!$C$2:$C$666=$C135)*(ISNUMBER(MATCH(Data!$D$2:$D$666,CurrentMonths,0)))*Data!$E$2:$E$666)</f>
        <v>49555.43</v>
      </c>
      <c r="F135" s="12">
        <f>E135-D135</f>
        <v>28969.49</v>
      </c>
      <c r="G135" s="13">
        <f>IF(D135=0,"",F135/ABS(D135))</f>
        <v>1.407246402156035</v>
      </c>
      <c r="H135" s="10" t="str">
        <f>IF(ABS(F135)&gt;=Threshold,"Yes","No")</f>
        <v>No</v>
      </c>
      <c r="I135" s="10" t="s">
        <v>18</v>
      </c>
    </row>
    <row r="136" spans="1:9">
      <c r="A136" s="10" t="s">
        <v>249</v>
      </c>
      <c r="B136" s="10" t="s">
        <v>55</v>
      </c>
      <c r="C136" s="10" t="s">
        <v>250</v>
      </c>
      <c r="D136" s="12">
        <f>SUMPRODUCT((Data!$A$2:$A$666=$A136)*(Data!$B$2:$B$666=$B136)*(Data!$C$2:$C$666=$C136)*(ISNUMBER(MATCH(Data!$D$2:$D$666,BaseMonths,0)))*Data!$E$2:$E$666)</f>
        <v>26741.76</v>
      </c>
      <c r="E136" s="12">
        <f>SUMPRODUCT((Data!$A$2:$A$666=$A136)*(Data!$B$2:$B$666=$B136)*(Data!$C$2:$C$666=$C136)*(ISNUMBER(MATCH(Data!$D$2:$D$666,CurrentMonths,0)))*Data!$E$2:$E$666)</f>
        <v>55617.36</v>
      </c>
      <c r="F136" s="12">
        <f>E136-D136</f>
        <v>28875.6</v>
      </c>
      <c r="G136" s="13">
        <f>IF(D136=0,"",F136/ABS(D136))</f>
        <v>1.0797942992533027</v>
      </c>
      <c r="H136" s="10" t="str">
        <f>IF(ABS(F136)&gt;=Threshold,"Yes","No")</f>
        <v>No</v>
      </c>
      <c r="I136" s="10" t="s">
        <v>18</v>
      </c>
    </row>
    <row r="137" spans="1:9">
      <c r="A137" s="10" t="s">
        <v>305</v>
      </c>
      <c r="B137" s="10" t="s">
        <v>67</v>
      </c>
      <c r="C137" s="10" t="s">
        <v>321</v>
      </c>
      <c r="D137" s="12">
        <f>SUMPRODUCT((Data!$A$2:$A$666=$A137)*(Data!$B$2:$B$666=$B137)*(Data!$C$2:$C$666=$C137)*(ISNUMBER(MATCH(Data!$D$2:$D$666,BaseMonths,0)))*Data!$E$2:$E$666)</f>
        <v>48117.67</v>
      </c>
      <c r="E137" s="12">
        <f>SUMPRODUCT((Data!$A$2:$A$666=$A137)*(Data!$B$2:$B$666=$B137)*(Data!$C$2:$C$666=$C137)*(ISNUMBER(MATCH(Data!$D$2:$D$666,CurrentMonths,0)))*Data!$E$2:$E$666)</f>
        <v>76803.14</v>
      </c>
      <c r="F137" s="12">
        <f>E137-D137</f>
        <v>28685.47</v>
      </c>
      <c r="G137" s="13">
        <f>IF(D137=0,"",F137/ABS(D137))</f>
        <v>0.5961525152818081</v>
      </c>
      <c r="H137" s="10" t="str">
        <f>IF(ABS(F137)&gt;=Threshold,"Yes","No")</f>
        <v>No</v>
      </c>
      <c r="I137" s="10" t="s">
        <v>18</v>
      </c>
    </row>
    <row r="138" spans="1:9">
      <c r="A138" s="10" t="s">
        <v>181</v>
      </c>
      <c r="B138" s="10" t="s">
        <v>34</v>
      </c>
      <c r="C138" s="10" t="s">
        <v>190</v>
      </c>
      <c r="D138" s="12">
        <f>SUMPRODUCT((Data!$A$2:$A$666=$A138)*(Data!$B$2:$B$666=$B138)*(Data!$C$2:$C$666=$C138)*(ISNUMBER(MATCH(Data!$D$2:$D$666,BaseMonths,0)))*Data!$E$2:$E$666)</f>
        <v>82667.29</v>
      </c>
      <c r="E138" s="12">
        <f>SUMPRODUCT((Data!$A$2:$A$666=$A138)*(Data!$B$2:$B$666=$B138)*(Data!$C$2:$C$666=$C138)*(ISNUMBER(MATCH(Data!$D$2:$D$666,CurrentMonths,0)))*Data!$E$2:$E$666)</f>
        <v>54721.63</v>
      </c>
      <c r="F138" s="12">
        <f>E138-D138</f>
        <v>-27945.66</v>
      </c>
      <c r="G138" s="13">
        <f>IF(D138=0,"",F138/ABS(D138))</f>
        <v>-0.33804978970521476</v>
      </c>
      <c r="H138" s="10" t="str">
        <f>IF(ABS(F138)&gt;=Threshold,"Yes","No")</f>
        <v>No</v>
      </c>
      <c r="I138" s="10" t="s">
        <v>18</v>
      </c>
    </row>
    <row r="139" spans="1:9">
      <c r="A139" s="10" t="s">
        <v>176</v>
      </c>
      <c r="B139" s="10" t="s">
        <v>67</v>
      </c>
      <c r="C139" s="10" t="s">
        <v>180</v>
      </c>
      <c r="D139" s="12">
        <f>SUMPRODUCT((Data!$A$2:$A$666=$A139)*(Data!$B$2:$B$666=$B139)*(Data!$C$2:$C$666=$C139)*(ISNUMBER(MATCH(Data!$D$2:$D$666,BaseMonths,0)))*Data!$E$2:$E$666)</f>
        <v>0.0</v>
      </c>
      <c r="E139" s="12">
        <f>SUMPRODUCT((Data!$A$2:$A$666=$A139)*(Data!$B$2:$B$666=$B139)*(Data!$C$2:$C$666=$C139)*(ISNUMBER(MATCH(Data!$D$2:$D$666,CurrentMonths,0)))*Data!$E$2:$E$666)</f>
        <v>27575.95</v>
      </c>
      <c r="F139" s="12">
        <f>E139-D139</f>
        <v>27575.95</v>
      </c>
      <c r="G139" s="13">
        <f>IF(D139=0,"",F139/ABS(D139))</f>
        <v/>
      </c>
      <c r="H139" s="10" t="str">
        <f>IF(ABS(F139)&gt;=Threshold,"Yes","No")</f>
        <v>No</v>
      </c>
      <c r="I139" s="10" t="s">
        <v>18</v>
      </c>
    </row>
    <row r="140" spans="1:9">
      <c r="A140" s="10" t="s">
        <v>296</v>
      </c>
      <c r="B140" s="10" t="s">
        <v>67</v>
      </c>
      <c r="C140" s="10" t="s">
        <v>299</v>
      </c>
      <c r="D140" s="12">
        <f>SUMPRODUCT((Data!$A$2:$A$666=$A140)*(Data!$B$2:$B$666=$B140)*(Data!$C$2:$C$666=$C140)*(ISNUMBER(MATCH(Data!$D$2:$D$666,BaseMonths,0)))*Data!$E$2:$E$666)</f>
        <v>45681.84</v>
      </c>
      <c r="E140" s="12">
        <f>SUMPRODUCT((Data!$A$2:$A$666=$A140)*(Data!$B$2:$B$666=$B140)*(Data!$C$2:$C$666=$C140)*(ISNUMBER(MATCH(Data!$D$2:$D$666,CurrentMonths,0)))*Data!$E$2:$E$666)</f>
        <v>18568.03</v>
      </c>
      <c r="F140" s="12">
        <f>E140-D140</f>
        <v>-27113.81</v>
      </c>
      <c r="G140" s="13">
        <f>IF(D140=0,"",F140/ABS(D140))</f>
        <v>-0.593535855823671</v>
      </c>
      <c r="H140" s="10" t="str">
        <f>IF(ABS(F140)&gt;=Threshold,"Yes","No")</f>
        <v>No</v>
      </c>
      <c r="I140" s="10" t="s">
        <v>18</v>
      </c>
    </row>
    <row r="141" spans="1:9">
      <c r="A141" s="10" t="s">
        <v>152</v>
      </c>
      <c r="B141" s="10" t="s">
        <v>34</v>
      </c>
      <c r="C141" s="10" t="s">
        <v>157</v>
      </c>
      <c r="D141" s="12">
        <f>SUMPRODUCT((Data!$A$2:$A$666=$A141)*(Data!$B$2:$B$666=$B141)*(Data!$C$2:$C$666=$C141)*(ISNUMBER(MATCH(Data!$D$2:$D$666,BaseMonths,0)))*Data!$E$2:$E$666)</f>
        <v>28.42</v>
      </c>
      <c r="E141" s="12">
        <f>SUMPRODUCT((Data!$A$2:$A$666=$A141)*(Data!$B$2:$B$666=$B141)*(Data!$C$2:$C$666=$C141)*(ISNUMBER(MATCH(Data!$D$2:$D$666,CurrentMonths,0)))*Data!$E$2:$E$666)</f>
        <v>26943.31</v>
      </c>
      <c r="F141" s="12">
        <f>E141-D141</f>
        <v>26914.89</v>
      </c>
      <c r="G141" s="13">
        <f>IF(D141=0,"",F141/ABS(D141))</f>
        <v>947.0404644616467</v>
      </c>
      <c r="H141" s="10" t="str">
        <f>IF(ABS(F141)&gt;=Threshold,"Yes","No")</f>
        <v>No</v>
      </c>
      <c r="I141" s="10" t="s">
        <v>18</v>
      </c>
    </row>
    <row r="142" spans="1:9">
      <c r="A142" s="10" t="s">
        <v>322</v>
      </c>
      <c r="B142" s="10" t="s">
        <v>55</v>
      </c>
      <c r="C142" s="10" t="s">
        <v>409</v>
      </c>
      <c r="D142" s="12">
        <f>SUMPRODUCT((Data!$A$2:$A$666=$A142)*(Data!$B$2:$B$666=$B142)*(Data!$C$2:$C$666=$C142)*(ISNUMBER(MATCH(Data!$D$2:$D$666,BaseMonths,0)))*Data!$E$2:$E$666)</f>
        <v>107563.33</v>
      </c>
      <c r="E142" s="12">
        <f>SUMPRODUCT((Data!$A$2:$A$666=$A142)*(Data!$B$2:$B$666=$B142)*(Data!$C$2:$C$666=$C142)*(ISNUMBER(MATCH(Data!$D$2:$D$666,CurrentMonths,0)))*Data!$E$2:$E$666)</f>
        <v>134289.03</v>
      </c>
      <c r="F142" s="12">
        <f>E142-D142</f>
        <v>26725.7</v>
      </c>
      <c r="G142" s="13">
        <f>IF(D142=0,"",F142/ABS(D142))</f>
        <v>0.24846478813922923</v>
      </c>
      <c r="H142" s="10" t="str">
        <f>IF(ABS(F142)&gt;=Threshold,"Yes","No")</f>
        <v>No</v>
      </c>
      <c r="I142" s="10" t="s">
        <v>18</v>
      </c>
    </row>
    <row r="143" spans="1:9">
      <c r="A143" s="10" t="s">
        <v>322</v>
      </c>
      <c r="B143" s="10" t="s">
        <v>55</v>
      </c>
      <c r="C143" s="10" t="s">
        <v>324</v>
      </c>
      <c r="D143" s="12">
        <f>SUMPRODUCT((Data!$A$2:$A$666=$A143)*(Data!$B$2:$B$666=$B143)*(Data!$C$2:$C$666=$C143)*(ISNUMBER(MATCH(Data!$D$2:$D$666,BaseMonths,0)))*Data!$E$2:$E$666)</f>
        <v>3285.61</v>
      </c>
      <c r="E143" s="12">
        <f>SUMPRODUCT((Data!$A$2:$A$666=$A143)*(Data!$B$2:$B$666=$B143)*(Data!$C$2:$C$666=$C143)*(ISNUMBER(MATCH(Data!$D$2:$D$666,CurrentMonths,0)))*Data!$E$2:$E$666)</f>
        <v>30000.0</v>
      </c>
      <c r="F143" s="12">
        <f>E143-D143</f>
        <v>26714.39</v>
      </c>
      <c r="G143" s="13">
        <f>IF(D143=0,"",F143/ABS(D143))</f>
        <v>8.130724583867227</v>
      </c>
      <c r="H143" s="10" t="str">
        <f>IF(ABS(F143)&gt;=Threshold,"Yes","No")</f>
        <v>No</v>
      </c>
      <c r="I143" s="10" t="s">
        <v>18</v>
      </c>
    </row>
    <row r="144" spans="1:9">
      <c r="A144" s="10" t="s">
        <v>144</v>
      </c>
      <c r="B144" s="10" t="s">
        <v>34</v>
      </c>
      <c r="C144" s="10" t="s">
        <v>147</v>
      </c>
      <c r="D144" s="12">
        <f>SUMPRODUCT((Data!$A$2:$A$666=$A144)*(Data!$B$2:$B$666=$B144)*(Data!$C$2:$C$666=$C144)*(ISNUMBER(MATCH(Data!$D$2:$D$666,BaseMonths,0)))*Data!$E$2:$E$666)</f>
        <v>180452.07</v>
      </c>
      <c r="E144" s="12">
        <f>SUMPRODUCT((Data!$A$2:$A$666=$A144)*(Data!$B$2:$B$666=$B144)*(Data!$C$2:$C$666=$C144)*(ISNUMBER(MATCH(Data!$D$2:$D$666,CurrentMonths,0)))*Data!$E$2:$E$666)</f>
        <v>153940.45</v>
      </c>
      <c r="F144" s="12">
        <f>E144-D144</f>
        <v>-26511.62</v>
      </c>
      <c r="G144" s="13">
        <f>IF(D144=0,"",F144/ABS(D144))</f>
        <v>-0.14691779373880276</v>
      </c>
      <c r="H144" s="10" t="str">
        <f>IF(ABS(F144)&gt;=Threshold,"Yes","No")</f>
        <v>No</v>
      </c>
      <c r="I144" s="10" t="s">
        <v>18</v>
      </c>
    </row>
    <row r="145" spans="1:9">
      <c r="A145" s="10" t="s">
        <v>266</v>
      </c>
      <c r="B145" s="10" t="s">
        <v>34</v>
      </c>
      <c r="C145" s="10" t="s">
        <v>267</v>
      </c>
      <c r="D145" s="12">
        <f>SUMPRODUCT((Data!$A$2:$A$666=$A145)*(Data!$B$2:$B$666=$B145)*(Data!$C$2:$C$666=$C145)*(ISNUMBER(MATCH(Data!$D$2:$D$666,BaseMonths,0)))*Data!$E$2:$E$666)</f>
        <v>188133.75</v>
      </c>
      <c r="E145" s="12">
        <f>SUMPRODUCT((Data!$A$2:$A$666=$A145)*(Data!$B$2:$B$666=$B145)*(Data!$C$2:$C$666=$C145)*(ISNUMBER(MATCH(Data!$D$2:$D$666,CurrentMonths,0)))*Data!$E$2:$E$666)</f>
        <v>214517.44</v>
      </c>
      <c r="F145" s="12">
        <f>E145-D145</f>
        <v>26383.69</v>
      </c>
      <c r="G145" s="13">
        <f>IF(D145=0,"",F145/ABS(D145))</f>
        <v>0.14023900549476104</v>
      </c>
      <c r="H145" s="10" t="str">
        <f>IF(ABS(F145)&gt;=Threshold,"Yes","No")</f>
        <v>No</v>
      </c>
      <c r="I145" s="10" t="s">
        <v>18</v>
      </c>
    </row>
    <row r="146" spans="1:9">
      <c r="A146" s="10" t="s">
        <v>213</v>
      </c>
      <c r="B146" s="10" t="s">
        <v>67</v>
      </c>
      <c r="C146" s="10" t="s">
        <v>228</v>
      </c>
      <c r="D146" s="12">
        <f>SUMPRODUCT((Data!$A$2:$A$666=$A146)*(Data!$B$2:$B$666=$B146)*(Data!$C$2:$C$666=$C146)*(ISNUMBER(MATCH(Data!$D$2:$D$666,BaseMonths,0)))*Data!$E$2:$E$666)</f>
        <v>45618.12</v>
      </c>
      <c r="E146" s="12">
        <f>SUMPRODUCT((Data!$A$2:$A$666=$A146)*(Data!$B$2:$B$666=$B146)*(Data!$C$2:$C$666=$C146)*(ISNUMBER(MATCH(Data!$D$2:$D$666,CurrentMonths,0)))*Data!$E$2:$E$666)</f>
        <v>19478.87</v>
      </c>
      <c r="F146" s="12">
        <f>E146-D146</f>
        <v>-26139.25</v>
      </c>
      <c r="G146" s="13">
        <f>IF(D146=0,"",F146/ABS(D146))</f>
        <v>-0.5730014739756921</v>
      </c>
      <c r="H146" s="10" t="str">
        <f>IF(ABS(F146)&gt;=Threshold,"Yes","No")</f>
        <v>No</v>
      </c>
      <c r="I146" s="10" t="s">
        <v>18</v>
      </c>
    </row>
    <row r="147" spans="1:9">
      <c r="A147" s="10" t="s">
        <v>88</v>
      </c>
      <c r="B147" s="10" t="s">
        <v>55</v>
      </c>
      <c r="C147" s="10" t="s">
        <v>92</v>
      </c>
      <c r="D147" s="12">
        <f>SUMPRODUCT((Data!$A$2:$A$666=$A147)*(Data!$B$2:$B$666=$B147)*(Data!$C$2:$C$666=$C147)*(ISNUMBER(MATCH(Data!$D$2:$D$666,BaseMonths,0)))*Data!$E$2:$E$666)</f>
        <v>65195.74</v>
      </c>
      <c r="E147" s="12">
        <f>SUMPRODUCT((Data!$A$2:$A$666=$A147)*(Data!$B$2:$B$666=$B147)*(Data!$C$2:$C$666=$C147)*(ISNUMBER(MATCH(Data!$D$2:$D$666,CurrentMonths,0)))*Data!$E$2:$E$666)</f>
        <v>39123.82</v>
      </c>
      <c r="F147" s="12">
        <f>E147-D147</f>
        <v>-26071.92</v>
      </c>
      <c r="G147" s="13">
        <f>IF(D147=0,"",F147/ABS(D147))</f>
        <v>-0.3999022021991007</v>
      </c>
      <c r="H147" s="10" t="str">
        <f>IF(ABS(F147)&gt;=Threshold,"Yes","No")</f>
        <v>No</v>
      </c>
      <c r="I147" s="10" t="s">
        <v>18</v>
      </c>
    </row>
    <row r="148" spans="1:9">
      <c r="A148" s="10" t="s">
        <v>181</v>
      </c>
      <c r="B148" s="10" t="s">
        <v>34</v>
      </c>
      <c r="C148" s="10" t="s">
        <v>191</v>
      </c>
      <c r="D148" s="12">
        <f>SUMPRODUCT((Data!$A$2:$A$666=$A148)*(Data!$B$2:$B$666=$B148)*(Data!$C$2:$C$666=$C148)*(ISNUMBER(MATCH(Data!$D$2:$D$666,BaseMonths,0)))*Data!$E$2:$E$666)</f>
        <v>93852.19</v>
      </c>
      <c r="E148" s="12">
        <f>SUMPRODUCT((Data!$A$2:$A$666=$A148)*(Data!$B$2:$B$666=$B148)*(Data!$C$2:$C$666=$C148)*(ISNUMBER(MATCH(Data!$D$2:$D$666,CurrentMonths,0)))*Data!$E$2:$E$666)</f>
        <v>67870.72</v>
      </c>
      <c r="F148" s="12">
        <f>E148-D148</f>
        <v>-25981.47</v>
      </c>
      <c r="G148" s="13">
        <f>IF(D148=0,"",F148/ABS(D148))</f>
        <v>-0.27683392364099335</v>
      </c>
      <c r="H148" s="10" t="str">
        <f>IF(ABS(F148)&gt;=Threshold,"Yes","No")</f>
        <v>No</v>
      </c>
      <c r="I148" s="10" t="s">
        <v>18</v>
      </c>
    </row>
    <row r="149" spans="1:9">
      <c r="A149" s="10" t="s">
        <v>322</v>
      </c>
      <c r="B149" s="10" t="s">
        <v>55</v>
      </c>
      <c r="C149" s="10" t="s">
        <v>397</v>
      </c>
      <c r="D149" s="12">
        <f>SUMPRODUCT((Data!$A$2:$A$666=$A149)*(Data!$B$2:$B$666=$B149)*(Data!$C$2:$C$666=$C149)*(ISNUMBER(MATCH(Data!$D$2:$D$666,BaseMonths,0)))*Data!$E$2:$E$666)</f>
        <v>72257.08</v>
      </c>
      <c r="E149" s="12">
        <f>SUMPRODUCT((Data!$A$2:$A$666=$A149)*(Data!$B$2:$B$666=$B149)*(Data!$C$2:$C$666=$C149)*(ISNUMBER(MATCH(Data!$D$2:$D$666,CurrentMonths,0)))*Data!$E$2:$E$666)</f>
        <v>46390.94</v>
      </c>
      <c r="F149" s="12">
        <f>E149-D149</f>
        <v>-25866.14</v>
      </c>
      <c r="G149" s="13">
        <f>IF(D149=0,"",F149/ABS(D149))</f>
        <v>-0.3579737791784556</v>
      </c>
      <c r="H149" s="10" t="str">
        <f>IF(ABS(F149)&gt;=Threshold,"Yes","No")</f>
        <v>No</v>
      </c>
      <c r="I149" s="10" t="s">
        <v>18</v>
      </c>
    </row>
    <row r="150" spans="1:9">
      <c r="A150" s="10" t="s">
        <v>70</v>
      </c>
      <c r="B150" s="10" t="s">
        <v>55</v>
      </c>
      <c r="C150" s="10" t="s">
        <v>78</v>
      </c>
      <c r="D150" s="12">
        <f>SUMPRODUCT((Data!$A$2:$A$666=$A150)*(Data!$B$2:$B$666=$B150)*(Data!$C$2:$C$666=$C150)*(ISNUMBER(MATCH(Data!$D$2:$D$666,BaseMonths,0)))*Data!$E$2:$E$666)</f>
        <v>28333.97</v>
      </c>
      <c r="E150" s="12">
        <f>SUMPRODUCT((Data!$A$2:$A$666=$A150)*(Data!$B$2:$B$666=$B150)*(Data!$C$2:$C$666=$C150)*(ISNUMBER(MATCH(Data!$D$2:$D$666,CurrentMonths,0)))*Data!$E$2:$E$666)</f>
        <v>53599.0</v>
      </c>
      <c r="F150" s="12">
        <f>E150-D150</f>
        <v>25265.03</v>
      </c>
      <c r="G150" s="13">
        <f>IF(D150=0,"",F150/ABS(D150))</f>
        <v>0.8916869044472059</v>
      </c>
      <c r="H150" s="10" t="str">
        <f>IF(ABS(F150)&gt;=Threshold,"Yes","No")</f>
        <v>No</v>
      </c>
      <c r="I150" s="10" t="s">
        <v>18</v>
      </c>
    </row>
    <row r="151" spans="1:9">
      <c r="A151" s="10" t="s">
        <v>229</v>
      </c>
      <c r="B151" s="10" t="s">
        <v>67</v>
      </c>
      <c r="C151" s="10" t="s">
        <v>248</v>
      </c>
      <c r="D151" s="12">
        <f>SUMPRODUCT((Data!$A$2:$A$666=$A151)*(Data!$B$2:$B$666=$B151)*(Data!$C$2:$C$666=$C151)*(ISNUMBER(MATCH(Data!$D$2:$D$666,BaseMonths,0)))*Data!$E$2:$E$666)</f>
        <v>27226.79</v>
      </c>
      <c r="E151" s="12">
        <f>SUMPRODUCT((Data!$A$2:$A$666=$A151)*(Data!$B$2:$B$666=$B151)*(Data!$C$2:$C$666=$C151)*(ISNUMBER(MATCH(Data!$D$2:$D$666,CurrentMonths,0)))*Data!$E$2:$E$666)</f>
        <v>1970.63</v>
      </c>
      <c r="F151" s="12">
        <f>E151-D151</f>
        <v>-25256.16</v>
      </c>
      <c r="G151" s="13">
        <f>IF(D151=0,"",F151/ABS(D151))</f>
        <v>-0.9276216549949516</v>
      </c>
      <c r="H151" s="10" t="str">
        <f>IF(ABS(F151)&gt;=Threshold,"Yes","No")</f>
        <v>No</v>
      </c>
      <c r="I151" s="10" t="s">
        <v>18</v>
      </c>
    </row>
    <row r="152" spans="1:9">
      <c r="A152" s="10" t="s">
        <v>33</v>
      </c>
      <c r="B152" s="10" t="s">
        <v>34</v>
      </c>
      <c r="C152" s="10" t="s">
        <v>51</v>
      </c>
      <c r="D152" s="12">
        <f>SUMPRODUCT((Data!$A$2:$A$666=$A152)*(Data!$B$2:$B$666=$B152)*(Data!$C$2:$C$666=$C152)*(ISNUMBER(MATCH(Data!$D$2:$D$666,BaseMonths,0)))*Data!$E$2:$E$666)</f>
        <v>121183.16</v>
      </c>
      <c r="E152" s="12">
        <f>SUMPRODUCT((Data!$A$2:$A$666=$A152)*(Data!$B$2:$B$666=$B152)*(Data!$C$2:$C$666=$C152)*(ISNUMBER(MATCH(Data!$D$2:$D$666,CurrentMonths,0)))*Data!$E$2:$E$666)</f>
        <v>145708.96</v>
      </c>
      <c r="F152" s="12">
        <f>E152-D152</f>
        <v>24525.8</v>
      </c>
      <c r="G152" s="13">
        <f>IF(D152=0,"",F152/ABS(D152))</f>
        <v>0.20238620613623212</v>
      </c>
      <c r="H152" s="10" t="str">
        <f>IF(ABS(F152)&gt;=Threshold,"Yes","No")</f>
        <v>No</v>
      </c>
      <c r="I152" s="10" t="s">
        <v>18</v>
      </c>
    </row>
    <row r="153" spans="1:9">
      <c r="A153" s="10" t="s">
        <v>152</v>
      </c>
      <c r="B153" s="10" t="s">
        <v>34</v>
      </c>
      <c r="C153" s="10" t="s">
        <v>153</v>
      </c>
      <c r="D153" s="12">
        <f>SUMPRODUCT((Data!$A$2:$A$666=$A153)*(Data!$B$2:$B$666=$B153)*(Data!$C$2:$C$666=$C153)*(ISNUMBER(MATCH(Data!$D$2:$D$666,BaseMonths,0)))*Data!$E$2:$E$666)</f>
        <v>26924.56</v>
      </c>
      <c r="E153" s="12">
        <f>SUMPRODUCT((Data!$A$2:$A$666=$A153)*(Data!$B$2:$B$666=$B153)*(Data!$C$2:$C$666=$C153)*(ISNUMBER(MATCH(Data!$D$2:$D$666,CurrentMonths,0)))*Data!$E$2:$E$666)</f>
        <v>2896.12</v>
      </c>
      <c r="F153" s="12">
        <f>E153-D153</f>
        <v>-24028.44</v>
      </c>
      <c r="G153" s="13">
        <f>IF(D153=0,"",F153/ABS(D153))</f>
        <v>-0.8924357538247606</v>
      </c>
      <c r="H153" s="10" t="str">
        <f>IF(ABS(F153)&gt;=Threshold,"Yes","No")</f>
        <v>No</v>
      </c>
      <c r="I153" s="10" t="s">
        <v>18</v>
      </c>
    </row>
    <row r="154" spans="1:9">
      <c r="A154" s="10" t="s">
        <v>256</v>
      </c>
      <c r="B154" s="10" t="s">
        <v>67</v>
      </c>
      <c r="C154" s="10" t="s">
        <v>258</v>
      </c>
      <c r="D154" s="12">
        <f>SUMPRODUCT((Data!$A$2:$A$666=$A154)*(Data!$B$2:$B$666=$B154)*(Data!$C$2:$C$666=$C154)*(ISNUMBER(MATCH(Data!$D$2:$D$666,BaseMonths,0)))*Data!$E$2:$E$666)</f>
        <v>30480.24</v>
      </c>
      <c r="E154" s="12">
        <f>SUMPRODUCT((Data!$A$2:$A$666=$A154)*(Data!$B$2:$B$666=$B154)*(Data!$C$2:$C$666=$C154)*(ISNUMBER(MATCH(Data!$D$2:$D$666,CurrentMonths,0)))*Data!$E$2:$E$666)</f>
        <v>6596.76</v>
      </c>
      <c r="F154" s="12">
        <f>E154-D154</f>
        <v>-23883.48</v>
      </c>
      <c r="G154" s="13">
        <f>IF(D154=0,"",F154/ABS(D154))</f>
        <v>-0.783572570294722</v>
      </c>
      <c r="H154" s="10" t="str">
        <f>IF(ABS(F154)&gt;=Threshold,"Yes","No")</f>
        <v>No</v>
      </c>
      <c r="I154" s="10" t="s">
        <v>18</v>
      </c>
    </row>
    <row r="155" spans="1:9">
      <c r="A155" s="10" t="s">
        <v>152</v>
      </c>
      <c r="B155" s="10" t="s">
        <v>34</v>
      </c>
      <c r="C155" s="10" t="s">
        <v>156</v>
      </c>
      <c r="D155" s="12">
        <f>SUMPRODUCT((Data!$A$2:$A$666=$A155)*(Data!$B$2:$B$666=$B155)*(Data!$C$2:$C$666=$C155)*(ISNUMBER(MATCH(Data!$D$2:$D$666,BaseMonths,0)))*Data!$E$2:$E$666)</f>
        <v>92.49</v>
      </c>
      <c r="E155" s="12">
        <f>SUMPRODUCT((Data!$A$2:$A$666=$A155)*(Data!$B$2:$B$666=$B155)*(Data!$C$2:$C$666=$C155)*(ISNUMBER(MATCH(Data!$D$2:$D$666,CurrentMonths,0)))*Data!$E$2:$E$666)</f>
        <v>23897.72</v>
      </c>
      <c r="F155" s="12">
        <f>E155-D155</f>
        <v>23805.23</v>
      </c>
      <c r="G155" s="13">
        <f>IF(D155=0,"",F155/ABS(D155))</f>
        <v>257.3816628824738</v>
      </c>
      <c r="H155" s="10" t="str">
        <f>IF(ABS(F155)&gt;=Threshold,"Yes","No")</f>
        <v>No</v>
      </c>
      <c r="I155" s="10" t="s">
        <v>18</v>
      </c>
    </row>
    <row r="156" spans="1:9">
      <c r="A156" s="10" t="s">
        <v>322</v>
      </c>
      <c r="B156" s="10" t="s">
        <v>55</v>
      </c>
      <c r="C156" s="10" t="s">
        <v>346</v>
      </c>
      <c r="D156" s="12">
        <f>SUMPRODUCT((Data!$A$2:$A$666=$A156)*(Data!$B$2:$B$666=$B156)*(Data!$C$2:$C$666=$C156)*(ISNUMBER(MATCH(Data!$D$2:$D$666,BaseMonths,0)))*Data!$E$2:$E$666)</f>
        <v>10475.37</v>
      </c>
      <c r="E156" s="12">
        <f>SUMPRODUCT((Data!$A$2:$A$666=$A156)*(Data!$B$2:$B$666=$B156)*(Data!$C$2:$C$666=$C156)*(ISNUMBER(MATCH(Data!$D$2:$D$666,CurrentMonths,0)))*Data!$E$2:$E$666)</f>
        <v>34163.89</v>
      </c>
      <c r="F156" s="12">
        <f>E156-D156</f>
        <v>23688.52</v>
      </c>
      <c r="G156" s="13">
        <f>IF(D156=0,"",F156/ABS(D156))</f>
        <v>2.26135401422575</v>
      </c>
      <c r="H156" s="10" t="str">
        <f>IF(ABS(F156)&gt;=Threshold,"Yes","No")</f>
        <v>No</v>
      </c>
      <c r="I156" s="10" t="s">
        <v>18</v>
      </c>
    </row>
    <row r="157" spans="1:9">
      <c r="A157" s="10" t="s">
        <v>54</v>
      </c>
      <c r="B157" s="10" t="s">
        <v>55</v>
      </c>
      <c r="C157" s="10" t="s">
        <v>57</v>
      </c>
      <c r="D157" s="12">
        <f>SUMPRODUCT((Data!$A$2:$A$666=$A157)*(Data!$B$2:$B$666=$B157)*(Data!$C$2:$C$666=$C157)*(ISNUMBER(MATCH(Data!$D$2:$D$666,BaseMonths,0)))*Data!$E$2:$E$666)</f>
        <v>34756.01</v>
      </c>
      <c r="E157" s="12">
        <f>SUMPRODUCT((Data!$A$2:$A$666=$A157)*(Data!$B$2:$B$666=$B157)*(Data!$C$2:$C$666=$C157)*(ISNUMBER(MATCH(Data!$D$2:$D$666,CurrentMonths,0)))*Data!$E$2:$E$666)</f>
        <v>11254.5</v>
      </c>
      <c r="F157" s="12">
        <f>E157-D157</f>
        <v>-23501.51</v>
      </c>
      <c r="G157" s="13">
        <f>IF(D157=0,"",F157/ABS(D157))</f>
        <v>-0.6761855000041719</v>
      </c>
      <c r="H157" s="10" t="str">
        <f>IF(ABS(F157)&gt;=Threshold,"Yes","No")</f>
        <v>No</v>
      </c>
      <c r="I157" s="10" t="s">
        <v>18</v>
      </c>
    </row>
    <row r="158" spans="1:9">
      <c r="A158" s="10" t="s">
        <v>181</v>
      </c>
      <c r="B158" s="10" t="s">
        <v>34</v>
      </c>
      <c r="C158" s="10" t="s">
        <v>187</v>
      </c>
      <c r="D158" s="12">
        <f>SUMPRODUCT((Data!$A$2:$A$666=$A158)*(Data!$B$2:$B$666=$B158)*(Data!$C$2:$C$666=$C158)*(ISNUMBER(MATCH(Data!$D$2:$D$666,BaseMonths,0)))*Data!$E$2:$E$666)</f>
        <v>67504.08</v>
      </c>
      <c r="E158" s="12">
        <f>SUMPRODUCT((Data!$A$2:$A$666=$A158)*(Data!$B$2:$B$666=$B158)*(Data!$C$2:$C$666=$C158)*(ISNUMBER(MATCH(Data!$D$2:$D$666,CurrentMonths,0)))*Data!$E$2:$E$666)</f>
        <v>44112.8</v>
      </c>
      <c r="F158" s="12">
        <f>E158-D158</f>
        <v>-23391.28</v>
      </c>
      <c r="G158" s="13">
        <f>IF(D158=0,"",F158/ABS(D158))</f>
        <v>-0.34651653648194297</v>
      </c>
      <c r="H158" s="10" t="str">
        <f>IF(ABS(F158)&gt;=Threshold,"Yes","No")</f>
        <v>No</v>
      </c>
      <c r="I158" s="10" t="s">
        <v>18</v>
      </c>
    </row>
    <row r="159" spans="1:9">
      <c r="A159" s="10" t="s">
        <v>305</v>
      </c>
      <c r="B159" s="10" t="s">
        <v>67</v>
      </c>
      <c r="C159" s="10" t="s">
        <v>309</v>
      </c>
      <c r="D159" s="12">
        <f>SUMPRODUCT((Data!$A$2:$A$666=$A159)*(Data!$B$2:$B$666=$B159)*(Data!$C$2:$C$666=$C159)*(ISNUMBER(MATCH(Data!$D$2:$D$666,BaseMonths,0)))*Data!$E$2:$E$666)</f>
        <v>63166.7</v>
      </c>
      <c r="E159" s="12">
        <f>SUMPRODUCT((Data!$A$2:$A$666=$A159)*(Data!$B$2:$B$666=$B159)*(Data!$C$2:$C$666=$C159)*(ISNUMBER(MATCH(Data!$D$2:$D$666,CurrentMonths,0)))*Data!$E$2:$E$666)</f>
        <v>86284.58</v>
      </c>
      <c r="F159" s="12">
        <f>E159-D159</f>
        <v>23117.88</v>
      </c>
      <c r="G159" s="13">
        <f>IF(D159=0,"",F159/ABS(D159))</f>
        <v>0.36598207599890453</v>
      </c>
      <c r="H159" s="10" t="str">
        <f>IF(ABS(F159)&gt;=Threshold,"Yes","No")</f>
        <v>No</v>
      </c>
      <c r="I159" s="10" t="s">
        <v>18</v>
      </c>
    </row>
    <row r="160" spans="1:9">
      <c r="A160" s="10" t="s">
        <v>181</v>
      </c>
      <c r="B160" s="10" t="s">
        <v>34</v>
      </c>
      <c r="C160" s="10" t="s">
        <v>197</v>
      </c>
      <c r="D160" s="12">
        <f>SUMPRODUCT((Data!$A$2:$A$666=$A160)*(Data!$B$2:$B$666=$B160)*(Data!$C$2:$C$666=$C160)*(ISNUMBER(MATCH(Data!$D$2:$D$666,BaseMonths,0)))*Data!$E$2:$E$666)</f>
        <v>154069.66</v>
      </c>
      <c r="E160" s="12">
        <f>SUMPRODUCT((Data!$A$2:$A$666=$A160)*(Data!$B$2:$B$666=$B160)*(Data!$C$2:$C$666=$C160)*(ISNUMBER(MATCH(Data!$D$2:$D$666,CurrentMonths,0)))*Data!$E$2:$E$666)</f>
        <v>176490.13</v>
      </c>
      <c r="F160" s="12">
        <f>E160-D160</f>
        <v>22420.47</v>
      </c>
      <c r="G160" s="13">
        <f>IF(D160=0,"",F160/ABS(D160))</f>
        <v>0.14552164261282852</v>
      </c>
      <c r="H160" s="10" t="str">
        <f>IF(ABS(F160)&gt;=Threshold,"Yes","No")</f>
        <v>No</v>
      </c>
      <c r="I160" s="10" t="s">
        <v>18</v>
      </c>
    </row>
    <row r="161" spans="1:9">
      <c r="A161" s="10" t="s">
        <v>213</v>
      </c>
      <c r="B161" s="10" t="s">
        <v>67</v>
      </c>
      <c r="C161" s="10" t="s">
        <v>227</v>
      </c>
      <c r="D161" s="12">
        <f>SUMPRODUCT((Data!$A$2:$A$666=$A161)*(Data!$B$2:$B$666=$B161)*(Data!$C$2:$C$666=$C161)*(ISNUMBER(MATCH(Data!$D$2:$D$666,BaseMonths,0)))*Data!$E$2:$E$666)</f>
        <v>46443.07</v>
      </c>
      <c r="E161" s="12">
        <f>SUMPRODUCT((Data!$A$2:$A$666=$A161)*(Data!$B$2:$B$666=$B161)*(Data!$C$2:$C$666=$C161)*(ISNUMBER(MATCH(Data!$D$2:$D$666,CurrentMonths,0)))*Data!$E$2:$E$666)</f>
        <v>24161.33</v>
      </c>
      <c r="F161" s="12">
        <f>E161-D161</f>
        <v>-22281.74</v>
      </c>
      <c r="G161" s="13">
        <f>IF(D161=0,"",F161/ABS(D161))</f>
        <v>-0.47976458059297117</v>
      </c>
      <c r="H161" s="10" t="str">
        <f>IF(ABS(F161)&gt;=Threshold,"Yes","No")</f>
        <v>No</v>
      </c>
      <c r="I161" s="10" t="s">
        <v>18</v>
      </c>
    </row>
    <row r="162" spans="1:9">
      <c r="A162" s="10" t="s">
        <v>111</v>
      </c>
      <c r="B162" s="10" t="s">
        <v>67</v>
      </c>
      <c r="C162" s="10" t="s">
        <v>115</v>
      </c>
      <c r="D162" s="12">
        <f>SUMPRODUCT((Data!$A$2:$A$666=$A162)*(Data!$B$2:$B$666=$B162)*(Data!$C$2:$C$666=$C162)*(ISNUMBER(MATCH(Data!$D$2:$D$666,BaseMonths,0)))*Data!$E$2:$E$666)</f>
        <v>0.0</v>
      </c>
      <c r="E162" s="12">
        <f>SUMPRODUCT((Data!$A$2:$A$666=$A162)*(Data!$B$2:$B$666=$B162)*(Data!$C$2:$C$666=$C162)*(ISNUMBER(MATCH(Data!$D$2:$D$666,CurrentMonths,0)))*Data!$E$2:$E$666)</f>
        <v>22090.11</v>
      </c>
      <c r="F162" s="12">
        <f>E162-D162</f>
        <v>22090.11</v>
      </c>
      <c r="G162" s="13">
        <f>IF(D162=0,"",F162/ABS(D162))</f>
        <v/>
      </c>
      <c r="H162" s="10" t="str">
        <f>IF(ABS(F162)&gt;=Threshold,"Yes","No")</f>
        <v>No</v>
      </c>
      <c r="I162" s="10" t="s">
        <v>18</v>
      </c>
    </row>
    <row r="163" spans="1:9">
      <c r="A163" s="10" t="s">
        <v>213</v>
      </c>
      <c r="B163" s="10" t="s">
        <v>67</v>
      </c>
      <c r="C163" s="10" t="s">
        <v>218</v>
      </c>
      <c r="D163" s="12">
        <f>SUMPRODUCT((Data!$A$2:$A$666=$A163)*(Data!$B$2:$B$666=$B163)*(Data!$C$2:$C$666=$C163)*(ISNUMBER(MATCH(Data!$D$2:$D$666,BaseMonths,0)))*Data!$E$2:$E$666)</f>
        <v>96550.23</v>
      </c>
      <c r="E163" s="12">
        <f>SUMPRODUCT((Data!$A$2:$A$666=$A163)*(Data!$B$2:$B$666=$B163)*(Data!$C$2:$C$666=$C163)*(ISNUMBER(MATCH(Data!$D$2:$D$666,CurrentMonths,0)))*Data!$E$2:$E$666)</f>
        <v>118462.18</v>
      </c>
      <c r="F163" s="12">
        <f>E163-D163</f>
        <v>21911.95</v>
      </c>
      <c r="G163" s="13">
        <f>IF(D163=0,"",F163/ABS(D163))</f>
        <v>0.22694870845983486</v>
      </c>
      <c r="H163" s="10" t="str">
        <f>IF(ABS(F163)&gt;=Threshold,"Yes","No")</f>
        <v>No</v>
      </c>
      <c r="I163" s="10" t="s">
        <v>18</v>
      </c>
    </row>
    <row r="164" spans="1:9">
      <c r="A164" s="10" t="s">
        <v>123</v>
      </c>
      <c r="B164" s="10" t="s">
        <v>67</v>
      </c>
      <c r="C164" s="10" t="s">
        <v>126</v>
      </c>
      <c r="D164" s="12">
        <f>SUMPRODUCT((Data!$A$2:$A$666=$A164)*(Data!$B$2:$B$666=$B164)*(Data!$C$2:$C$666=$C164)*(ISNUMBER(MATCH(Data!$D$2:$D$666,BaseMonths,0)))*Data!$E$2:$E$666)</f>
        <v>67153.39</v>
      </c>
      <c r="E164" s="12">
        <f>SUMPRODUCT((Data!$A$2:$A$666=$A164)*(Data!$B$2:$B$666=$B164)*(Data!$C$2:$C$666=$C164)*(ISNUMBER(MATCH(Data!$D$2:$D$666,CurrentMonths,0)))*Data!$E$2:$E$666)</f>
        <v>89043.31</v>
      </c>
      <c r="F164" s="12">
        <f>E164-D164</f>
        <v>21889.92</v>
      </c>
      <c r="G164" s="13">
        <f>IF(D164=0,"",F164/ABS(D164))</f>
        <v>0.325968949594354</v>
      </c>
      <c r="H164" s="10" t="str">
        <f>IF(ABS(F164)&gt;=Threshold,"Yes","No")</f>
        <v>No</v>
      </c>
      <c r="I164" s="10" t="s">
        <v>18</v>
      </c>
    </row>
    <row r="165" spans="1:9">
      <c r="A165" s="10" t="s">
        <v>322</v>
      </c>
      <c r="B165" s="10" t="s">
        <v>55</v>
      </c>
      <c r="C165" s="10" t="s">
        <v>382</v>
      </c>
      <c r="D165" s="12">
        <f>SUMPRODUCT((Data!$A$2:$A$666=$A165)*(Data!$B$2:$B$666=$B165)*(Data!$C$2:$C$666=$C165)*(ISNUMBER(MATCH(Data!$D$2:$D$666,BaseMonths,0)))*Data!$E$2:$E$666)</f>
        <v>5363.67</v>
      </c>
      <c r="E165" s="12">
        <f>SUMPRODUCT((Data!$A$2:$A$666=$A165)*(Data!$B$2:$B$666=$B165)*(Data!$C$2:$C$666=$C165)*(ISNUMBER(MATCH(Data!$D$2:$D$666,CurrentMonths,0)))*Data!$E$2:$E$666)</f>
        <v>27065.95</v>
      </c>
      <c r="F165" s="12">
        <f>E165-D165</f>
        <v>21702.28</v>
      </c>
      <c r="G165" s="13">
        <f>IF(D165=0,"",F165/ABS(D165))</f>
        <v>4.046162422371249</v>
      </c>
      <c r="H165" s="10" t="str">
        <f>IF(ABS(F165)&gt;=Threshold,"Yes","No")</f>
        <v>No</v>
      </c>
      <c r="I165" s="10" t="s">
        <v>18</v>
      </c>
    </row>
    <row r="166" spans="1:9">
      <c r="A166" s="10" t="s">
        <v>208</v>
      </c>
      <c r="B166" s="10" t="s">
        <v>55</v>
      </c>
      <c r="C166" s="10" t="s">
        <v>209</v>
      </c>
      <c r="D166" s="12">
        <f>SUMPRODUCT((Data!$A$2:$A$666=$A166)*(Data!$B$2:$B$666=$B166)*(Data!$C$2:$C$666=$C166)*(ISNUMBER(MATCH(Data!$D$2:$D$666,BaseMonths,0)))*Data!$E$2:$E$666)</f>
        <v>16739.01</v>
      </c>
      <c r="E166" s="12">
        <f>SUMPRODUCT((Data!$A$2:$A$666=$A166)*(Data!$B$2:$B$666=$B166)*(Data!$C$2:$C$666=$C166)*(ISNUMBER(MATCH(Data!$D$2:$D$666,CurrentMonths,0)))*Data!$E$2:$E$666)</f>
        <v>38187.06</v>
      </c>
      <c r="F166" s="12">
        <f>E166-D166</f>
        <v>21448.05</v>
      </c>
      <c r="G166" s="13">
        <f>IF(D166=0,"",F166/ABS(D166))</f>
        <v>1.2813212967792003</v>
      </c>
      <c r="H166" s="10" t="str">
        <f>IF(ABS(F166)&gt;=Threshold,"Yes","No")</f>
        <v>No</v>
      </c>
      <c r="I166" s="10" t="s">
        <v>18</v>
      </c>
    </row>
    <row r="167" spans="1:9">
      <c r="A167" s="10" t="s">
        <v>322</v>
      </c>
      <c r="B167" s="10" t="s">
        <v>55</v>
      </c>
      <c r="C167" s="10" t="s">
        <v>408</v>
      </c>
      <c r="D167" s="12">
        <f>SUMPRODUCT((Data!$A$2:$A$666=$A167)*(Data!$B$2:$B$666=$B167)*(Data!$C$2:$C$666=$C167)*(ISNUMBER(MATCH(Data!$D$2:$D$666,BaseMonths,0)))*Data!$E$2:$E$666)</f>
        <v>64520.31</v>
      </c>
      <c r="E167" s="12">
        <f>SUMPRODUCT((Data!$A$2:$A$666=$A167)*(Data!$B$2:$B$666=$B167)*(Data!$C$2:$C$666=$C167)*(ISNUMBER(MATCH(Data!$D$2:$D$666,CurrentMonths,0)))*Data!$E$2:$E$666)</f>
        <v>43317.33</v>
      </c>
      <c r="F167" s="12">
        <f>E167-D167</f>
        <v>-21202.98</v>
      </c>
      <c r="G167" s="13">
        <f>IF(D167=0,"",F167/ABS(D167))</f>
        <v>-0.3286248934637791</v>
      </c>
      <c r="H167" s="10" t="str">
        <f>IF(ABS(F167)&gt;=Threshold,"Yes","No")</f>
        <v>No</v>
      </c>
      <c r="I167" s="10" t="s">
        <v>18</v>
      </c>
    </row>
    <row r="168" spans="1:9">
      <c r="A168" s="10" t="s">
        <v>322</v>
      </c>
      <c r="B168" s="10" t="s">
        <v>55</v>
      </c>
      <c r="C168" s="10" t="s">
        <v>339</v>
      </c>
      <c r="D168" s="12">
        <f>SUMPRODUCT((Data!$A$2:$A$666=$A168)*(Data!$B$2:$B$666=$B168)*(Data!$C$2:$C$666=$C168)*(ISNUMBER(MATCH(Data!$D$2:$D$666,BaseMonths,0)))*Data!$E$2:$E$666)</f>
        <v>64731.52</v>
      </c>
      <c r="E168" s="12">
        <f>SUMPRODUCT((Data!$A$2:$A$666=$A168)*(Data!$B$2:$B$666=$B168)*(Data!$C$2:$C$666=$C168)*(ISNUMBER(MATCH(Data!$D$2:$D$666,CurrentMonths,0)))*Data!$E$2:$E$666)</f>
        <v>43668.96</v>
      </c>
      <c r="F168" s="12">
        <f>E168-D168</f>
        <v>-21062.56</v>
      </c>
      <c r="G168" s="13">
        <f>IF(D168=0,"",F168/ABS(D168))</f>
        <v>-0.32538336810258744</v>
      </c>
      <c r="H168" s="10" t="str">
        <f>IF(ABS(F168)&gt;=Threshold,"Yes","No")</f>
        <v>No</v>
      </c>
      <c r="I168" s="10" t="s">
        <v>18</v>
      </c>
    </row>
    <row r="169" spans="1:9">
      <c r="A169" s="10" t="s">
        <v>273</v>
      </c>
      <c r="B169" s="10" t="s">
        <v>67</v>
      </c>
      <c r="C169" s="10" t="s">
        <v>274</v>
      </c>
      <c r="D169" s="12">
        <f>SUMPRODUCT((Data!$A$2:$A$666=$A169)*(Data!$B$2:$B$666=$B169)*(Data!$C$2:$C$666=$C169)*(ISNUMBER(MATCH(Data!$D$2:$D$666,BaseMonths,0)))*Data!$E$2:$E$666)</f>
        <v>56700.2</v>
      </c>
      <c r="E169" s="12">
        <f>SUMPRODUCT((Data!$A$2:$A$666=$A169)*(Data!$B$2:$B$666=$B169)*(Data!$C$2:$C$666=$C169)*(ISNUMBER(MATCH(Data!$D$2:$D$666,CurrentMonths,0)))*Data!$E$2:$E$666)</f>
        <v>35702.8</v>
      </c>
      <c r="F169" s="12">
        <f>E169-D169</f>
        <v>-20997.4</v>
      </c>
      <c r="G169" s="13">
        <f>IF(D169=0,"",F169/ABS(D169))</f>
        <v>-0.37032320873647717</v>
      </c>
      <c r="H169" s="10" t="str">
        <f>IF(ABS(F169)&gt;=Threshold,"Yes","No")</f>
        <v>No</v>
      </c>
      <c r="I169" s="10" t="s">
        <v>18</v>
      </c>
    </row>
    <row r="170" spans="1:9">
      <c r="A170" s="10" t="s">
        <v>111</v>
      </c>
      <c r="B170" s="10" t="s">
        <v>67</v>
      </c>
      <c r="C170" s="10" t="s">
        <v>119</v>
      </c>
      <c r="D170" s="12">
        <f>SUMPRODUCT((Data!$A$2:$A$666=$A170)*(Data!$B$2:$B$666=$B170)*(Data!$C$2:$C$666=$C170)*(ISNUMBER(MATCH(Data!$D$2:$D$666,BaseMonths,0)))*Data!$E$2:$E$666)</f>
        <v>50032.53</v>
      </c>
      <c r="E170" s="12">
        <f>SUMPRODUCT((Data!$A$2:$A$666=$A170)*(Data!$B$2:$B$666=$B170)*(Data!$C$2:$C$666=$C170)*(ISNUMBER(MATCH(Data!$D$2:$D$666,CurrentMonths,0)))*Data!$E$2:$E$666)</f>
        <v>70887.67</v>
      </c>
      <c r="F170" s="12">
        <f>E170-D170</f>
        <v>20855.14</v>
      </c>
      <c r="G170" s="13">
        <f>IF(D170=0,"",F170/ABS(D170))</f>
        <v>0.41683160935495367</v>
      </c>
      <c r="H170" s="10" t="str">
        <f>IF(ABS(F170)&gt;=Threshold,"Yes","No")</f>
        <v>No</v>
      </c>
      <c r="I170" s="10" t="s">
        <v>18</v>
      </c>
    </row>
    <row r="171" spans="1:9">
      <c r="A171" s="10" t="s">
        <v>123</v>
      </c>
      <c r="B171" s="10" t="s">
        <v>67</v>
      </c>
      <c r="C171" s="10" t="s">
        <v>125</v>
      </c>
      <c r="D171" s="12">
        <f>SUMPRODUCT((Data!$A$2:$A$666=$A171)*(Data!$B$2:$B$666=$B171)*(Data!$C$2:$C$666=$C171)*(ISNUMBER(MATCH(Data!$D$2:$D$666,BaseMonths,0)))*Data!$E$2:$E$666)</f>
        <v>0.0</v>
      </c>
      <c r="E171" s="12">
        <f>SUMPRODUCT((Data!$A$2:$A$666=$A171)*(Data!$B$2:$B$666=$B171)*(Data!$C$2:$C$666=$C171)*(ISNUMBER(MATCH(Data!$D$2:$D$666,CurrentMonths,0)))*Data!$E$2:$E$666)</f>
        <v>20097.82</v>
      </c>
      <c r="F171" s="12">
        <f>E171-D171</f>
        <v>20097.82</v>
      </c>
      <c r="G171" s="13">
        <f>IF(D171=0,"",F171/ABS(D171))</f>
        <v/>
      </c>
      <c r="H171" s="10" t="str">
        <f>IF(ABS(F171)&gt;=Threshold,"Yes","No")</f>
        <v>No</v>
      </c>
      <c r="I171" s="10" t="s">
        <v>18</v>
      </c>
    </row>
    <row r="172" spans="1:9">
      <c r="A172" s="10" t="s">
        <v>66</v>
      </c>
      <c r="B172" s="10" t="s">
        <v>67</v>
      </c>
      <c r="C172" s="10" t="s">
        <v>68</v>
      </c>
      <c r="D172" s="12">
        <f>SUMPRODUCT((Data!$A$2:$A$666=$A172)*(Data!$B$2:$B$666=$B172)*(Data!$C$2:$C$666=$C172)*(ISNUMBER(MATCH(Data!$D$2:$D$666,BaseMonths,0)))*Data!$E$2:$E$666)</f>
        <v>8438.67</v>
      </c>
      <c r="E172" s="12">
        <f>SUMPRODUCT((Data!$A$2:$A$666=$A172)*(Data!$B$2:$B$666=$B172)*(Data!$C$2:$C$666=$C172)*(ISNUMBER(MATCH(Data!$D$2:$D$666,CurrentMonths,0)))*Data!$E$2:$E$666)</f>
        <v>28467.5</v>
      </c>
      <c r="F172" s="12">
        <f>E172-D172</f>
        <v>20028.83</v>
      </c>
      <c r="G172" s="13">
        <f>IF(D172=0,"",F172/ABS(D172))</f>
        <v>2.37345813973055</v>
      </c>
      <c r="H172" s="10" t="str">
        <f>IF(ABS(F172)&gt;=Threshold,"Yes","No")</f>
        <v>No</v>
      </c>
      <c r="I172" s="10" t="s">
        <v>18</v>
      </c>
    </row>
    <row r="173" spans="1:9">
      <c r="A173" s="10" t="s">
        <v>33</v>
      </c>
      <c r="B173" s="10" t="s">
        <v>34</v>
      </c>
      <c r="C173" s="10" t="s">
        <v>42</v>
      </c>
      <c r="D173" s="12">
        <f>SUMPRODUCT((Data!$A$2:$A$666=$A173)*(Data!$B$2:$B$666=$B173)*(Data!$C$2:$C$666=$C173)*(ISNUMBER(MATCH(Data!$D$2:$D$666,BaseMonths,0)))*Data!$E$2:$E$666)</f>
        <v>8968.07</v>
      </c>
      <c r="E173" s="12">
        <f>SUMPRODUCT((Data!$A$2:$A$666=$A173)*(Data!$B$2:$B$666=$B173)*(Data!$C$2:$C$666=$C173)*(ISNUMBER(MATCH(Data!$D$2:$D$666,CurrentMonths,0)))*Data!$E$2:$E$666)</f>
        <v>28928.82</v>
      </c>
      <c r="F173" s="12">
        <f>E173-D173</f>
        <v>19960.75</v>
      </c>
      <c r="G173" s="13">
        <f>IF(D173=0,"",F173/ABS(D173))</f>
        <v>2.2257576044790017</v>
      </c>
      <c r="H173" s="10" t="str">
        <f>IF(ABS(F173)&gt;=Threshold,"Yes","No")</f>
        <v>No</v>
      </c>
      <c r="I173" s="10" t="s">
        <v>18</v>
      </c>
    </row>
    <row r="174" spans="1:9">
      <c r="A174" s="10" t="s">
        <v>322</v>
      </c>
      <c r="B174" s="10" t="s">
        <v>55</v>
      </c>
      <c r="C174" s="10" t="s">
        <v>372</v>
      </c>
      <c r="D174" s="12">
        <f>SUMPRODUCT((Data!$A$2:$A$666=$A174)*(Data!$B$2:$B$666=$B174)*(Data!$C$2:$C$666=$C174)*(ISNUMBER(MATCH(Data!$D$2:$D$666,BaseMonths,0)))*Data!$E$2:$E$666)</f>
        <v>30047.62</v>
      </c>
      <c r="E174" s="12">
        <f>SUMPRODUCT((Data!$A$2:$A$666=$A174)*(Data!$B$2:$B$666=$B174)*(Data!$C$2:$C$666=$C174)*(ISNUMBER(MATCH(Data!$D$2:$D$666,CurrentMonths,0)))*Data!$E$2:$E$666)</f>
        <v>49989.66</v>
      </c>
      <c r="F174" s="12">
        <f>E174-D174</f>
        <v>19942.04</v>
      </c>
      <c r="G174" s="13">
        <f>IF(D174=0,"",F174/ABS(D174))</f>
        <v>0.6636811834015474</v>
      </c>
      <c r="H174" s="10" t="str">
        <f>IF(ABS(F174)&gt;=Threshold,"Yes","No")</f>
        <v>No</v>
      </c>
      <c r="I174" s="10" t="s">
        <v>18</v>
      </c>
    </row>
    <row r="175" spans="1:9">
      <c r="A175" s="10" t="s">
        <v>88</v>
      </c>
      <c r="B175" s="10" t="s">
        <v>55</v>
      </c>
      <c r="C175" s="10" t="s">
        <v>90</v>
      </c>
      <c r="D175" s="12">
        <f>SUMPRODUCT((Data!$A$2:$A$666=$A175)*(Data!$B$2:$B$666=$B175)*(Data!$C$2:$C$666=$C175)*(ISNUMBER(MATCH(Data!$D$2:$D$666,BaseMonths,0)))*Data!$E$2:$E$666)</f>
        <v>57700.77</v>
      </c>
      <c r="E175" s="12">
        <f>SUMPRODUCT((Data!$A$2:$A$666=$A175)*(Data!$B$2:$B$666=$B175)*(Data!$C$2:$C$666=$C175)*(ISNUMBER(MATCH(Data!$D$2:$D$666,CurrentMonths,0)))*Data!$E$2:$E$666)</f>
        <v>37762.25</v>
      </c>
      <c r="F175" s="12">
        <f>E175-D175</f>
        <v>-19938.52</v>
      </c>
      <c r="G175" s="13">
        <f>IF(D175=0,"",F175/ABS(D175))</f>
        <v>-0.34555032801122065</v>
      </c>
      <c r="H175" s="10" t="str">
        <f>IF(ABS(F175)&gt;=Threshold,"Yes","No")</f>
        <v>No</v>
      </c>
      <c r="I175" s="10" t="s">
        <v>18</v>
      </c>
    </row>
    <row r="176" spans="1:9">
      <c r="A176" s="10" t="s">
        <v>181</v>
      </c>
      <c r="B176" s="10" t="s">
        <v>34</v>
      </c>
      <c r="C176" s="10" t="s">
        <v>196</v>
      </c>
      <c r="D176" s="12">
        <f>SUMPRODUCT((Data!$A$2:$A$666=$A176)*(Data!$B$2:$B$666=$B176)*(Data!$C$2:$C$666=$C176)*(ISNUMBER(MATCH(Data!$D$2:$D$666,BaseMonths,0)))*Data!$E$2:$E$666)</f>
        <v>57078.99</v>
      </c>
      <c r="E176" s="12">
        <f>SUMPRODUCT((Data!$A$2:$A$666=$A176)*(Data!$B$2:$B$666=$B176)*(Data!$C$2:$C$666=$C176)*(ISNUMBER(MATCH(Data!$D$2:$D$666,CurrentMonths,0)))*Data!$E$2:$E$666)</f>
        <v>76922.76</v>
      </c>
      <c r="F176" s="12">
        <f>E176-D176</f>
        <v>19843.77</v>
      </c>
      <c r="G176" s="13">
        <f>IF(D176=0,"",F176/ABS(D176))</f>
        <v>0.3476545397877573</v>
      </c>
      <c r="H176" s="10" t="str">
        <f>IF(ABS(F176)&gt;=Threshold,"Yes","No")</f>
        <v>No</v>
      </c>
      <c r="I176" s="10" t="s">
        <v>18</v>
      </c>
    </row>
    <row r="177" spans="1:9">
      <c r="A177" s="10" t="s">
        <v>276</v>
      </c>
      <c r="B177" s="10" t="s">
        <v>67</v>
      </c>
      <c r="C177" s="10" t="s">
        <v>280</v>
      </c>
      <c r="D177" s="12">
        <f>SUMPRODUCT((Data!$A$2:$A$666=$A177)*(Data!$B$2:$B$666=$B177)*(Data!$C$2:$C$666=$C177)*(ISNUMBER(MATCH(Data!$D$2:$D$666,BaseMonths,0)))*Data!$E$2:$E$666)</f>
        <v>81311.51</v>
      </c>
      <c r="E177" s="12">
        <f>SUMPRODUCT((Data!$A$2:$A$666=$A177)*(Data!$B$2:$B$666=$B177)*(Data!$C$2:$C$666=$C177)*(ISNUMBER(MATCH(Data!$D$2:$D$666,CurrentMonths,0)))*Data!$E$2:$E$666)</f>
        <v>61841.82</v>
      </c>
      <c r="F177" s="12">
        <f>E177-D177</f>
        <v>-19469.69</v>
      </c>
      <c r="G177" s="13">
        <f>IF(D177=0,"",F177/ABS(D177))</f>
        <v>-0.23944568241322783</v>
      </c>
      <c r="H177" s="10" t="str">
        <f>IF(ABS(F177)&gt;=Threshold,"Yes","No")</f>
        <v>No</v>
      </c>
      <c r="I177" s="10" t="s">
        <v>18</v>
      </c>
    </row>
    <row r="178" spans="1:9">
      <c r="A178" s="10" t="s">
        <v>100</v>
      </c>
      <c r="B178" s="10" t="s">
        <v>55</v>
      </c>
      <c r="C178" s="10" t="s">
        <v>101</v>
      </c>
      <c r="D178" s="12">
        <f>SUMPRODUCT((Data!$A$2:$A$666=$A178)*(Data!$B$2:$B$666=$B178)*(Data!$C$2:$C$666=$C178)*(ISNUMBER(MATCH(Data!$D$2:$D$666,BaseMonths,0)))*Data!$E$2:$E$666)</f>
        <v>52392.52</v>
      </c>
      <c r="E178" s="12">
        <f>SUMPRODUCT((Data!$A$2:$A$666=$A178)*(Data!$B$2:$B$666=$B178)*(Data!$C$2:$C$666=$C178)*(ISNUMBER(MATCH(Data!$D$2:$D$666,CurrentMonths,0)))*Data!$E$2:$E$666)</f>
        <v>32982.47</v>
      </c>
      <c r="F178" s="12">
        <f>E178-D178</f>
        <v>-19410.05</v>
      </c>
      <c r="G178" s="13">
        <f>IF(D178=0,"",F178/ABS(D178))</f>
        <v>-0.37047368593837443</v>
      </c>
      <c r="H178" s="10" t="str">
        <f>IF(ABS(F178)&gt;=Threshold,"Yes","No")</f>
        <v>No</v>
      </c>
      <c r="I178" s="10" t="s">
        <v>18</v>
      </c>
    </row>
    <row r="179" spans="1:9">
      <c r="A179" s="10" t="s">
        <v>305</v>
      </c>
      <c r="B179" s="10" t="s">
        <v>67</v>
      </c>
      <c r="C179" s="10" t="s">
        <v>316</v>
      </c>
      <c r="D179" s="12">
        <f>SUMPRODUCT((Data!$A$2:$A$666=$A179)*(Data!$B$2:$B$666=$B179)*(Data!$C$2:$C$666=$C179)*(ISNUMBER(MATCH(Data!$D$2:$D$666,BaseMonths,0)))*Data!$E$2:$E$666)</f>
        <v>16050.72</v>
      </c>
      <c r="E179" s="12">
        <f>SUMPRODUCT((Data!$A$2:$A$666=$A179)*(Data!$B$2:$B$666=$B179)*(Data!$C$2:$C$666=$C179)*(ISNUMBER(MATCH(Data!$D$2:$D$666,CurrentMonths,0)))*Data!$E$2:$E$666)</f>
        <v>-2100.61</v>
      </c>
      <c r="F179" s="12">
        <f>E179-D179</f>
        <v>-18151.33</v>
      </c>
      <c r="G179" s="13">
        <f>IF(D179=0,"",F179/ABS(D179))</f>
        <v>-1.1308732567760202</v>
      </c>
      <c r="H179" s="10" t="str">
        <f>IF(ABS(F179)&gt;=Threshold,"Yes","No")</f>
        <v>No</v>
      </c>
      <c r="I179" s="10" t="s">
        <v>18</v>
      </c>
    </row>
    <row r="180" spans="1:9">
      <c r="A180" s="10" t="s">
        <v>123</v>
      </c>
      <c r="B180" s="10" t="s">
        <v>67</v>
      </c>
      <c r="C180" s="10" t="s">
        <v>139</v>
      </c>
      <c r="D180" s="12">
        <f>SUMPRODUCT((Data!$A$2:$A$666=$A180)*(Data!$B$2:$B$666=$B180)*(Data!$C$2:$C$666=$C180)*(ISNUMBER(MATCH(Data!$D$2:$D$666,BaseMonths,0)))*Data!$E$2:$E$666)</f>
        <v>108498.74</v>
      </c>
      <c r="E180" s="12">
        <f>SUMPRODUCT((Data!$A$2:$A$666=$A180)*(Data!$B$2:$B$666=$B180)*(Data!$C$2:$C$666=$C180)*(ISNUMBER(MATCH(Data!$D$2:$D$666,CurrentMonths,0)))*Data!$E$2:$E$666)</f>
        <v>90348.38</v>
      </c>
      <c r="F180" s="12">
        <f>E180-D180</f>
        <v>-18150.36</v>
      </c>
      <c r="G180" s="13">
        <f>IF(D180=0,"",F180/ABS(D180))</f>
        <v>-0.16728636664352048</v>
      </c>
      <c r="H180" s="10" t="str">
        <f>IF(ABS(F180)&gt;=Threshold,"Yes","No")</f>
        <v>No</v>
      </c>
      <c r="I180" s="10" t="s">
        <v>18</v>
      </c>
    </row>
    <row r="181" spans="1:9">
      <c r="A181" s="10" t="s">
        <v>296</v>
      </c>
      <c r="B181" s="10" t="s">
        <v>67</v>
      </c>
      <c r="C181" s="10" t="s">
        <v>297</v>
      </c>
      <c r="D181" s="12">
        <f>SUMPRODUCT((Data!$A$2:$A$666=$A181)*(Data!$B$2:$B$666=$B181)*(Data!$C$2:$C$666=$C181)*(ISNUMBER(MATCH(Data!$D$2:$D$666,BaseMonths,0)))*Data!$E$2:$E$666)</f>
        <v>80463.85</v>
      </c>
      <c r="E181" s="12">
        <f>SUMPRODUCT((Data!$A$2:$A$666=$A181)*(Data!$B$2:$B$666=$B181)*(Data!$C$2:$C$666=$C181)*(ISNUMBER(MATCH(Data!$D$2:$D$666,CurrentMonths,0)))*Data!$E$2:$E$666)</f>
        <v>98583.53</v>
      </c>
      <c r="F181" s="12">
        <f>E181-D181</f>
        <v>18119.68</v>
      </c>
      <c r="G181" s="13">
        <f>IF(D181=0,"",F181/ABS(D181))</f>
        <v>0.22519031838521272</v>
      </c>
      <c r="H181" s="10" t="str">
        <f>IF(ABS(F181)&gt;=Threshold,"Yes","No")</f>
        <v>No</v>
      </c>
      <c r="I181" s="10" t="s">
        <v>18</v>
      </c>
    </row>
    <row r="182" spans="1:9">
      <c r="A182" s="10" t="s">
        <v>251</v>
      </c>
      <c r="B182" s="10" t="s">
        <v>34</v>
      </c>
      <c r="C182" s="10" t="s">
        <v>254</v>
      </c>
      <c r="D182" s="12">
        <f>SUMPRODUCT((Data!$A$2:$A$666=$A182)*(Data!$B$2:$B$666=$B182)*(Data!$C$2:$C$666=$C182)*(ISNUMBER(MATCH(Data!$D$2:$D$666,BaseMonths,0)))*Data!$E$2:$E$666)</f>
        <v>34664.11</v>
      </c>
      <c r="E182" s="12">
        <f>SUMPRODUCT((Data!$A$2:$A$666=$A182)*(Data!$B$2:$B$666=$B182)*(Data!$C$2:$C$666=$C182)*(ISNUMBER(MATCH(Data!$D$2:$D$666,CurrentMonths,0)))*Data!$E$2:$E$666)</f>
        <v>16905.61</v>
      </c>
      <c r="F182" s="12">
        <f>E182-D182</f>
        <v>-17758.5</v>
      </c>
      <c r="G182" s="13">
        <f>IF(D182=0,"",F182/ABS(D182))</f>
        <v>-0.5123022053645687</v>
      </c>
      <c r="H182" s="10" t="str">
        <f>IF(ABS(F182)&gt;=Threshold,"Yes","No")</f>
        <v>No</v>
      </c>
      <c r="I182" s="10" t="s">
        <v>18</v>
      </c>
    </row>
    <row r="183" spans="1:9">
      <c r="A183" s="10" t="s">
        <v>161</v>
      </c>
      <c r="B183" s="10" t="s">
        <v>67</v>
      </c>
      <c r="C183" s="10" t="s">
        <v>166</v>
      </c>
      <c r="D183" s="12">
        <f>SUMPRODUCT((Data!$A$2:$A$666=$A183)*(Data!$B$2:$B$666=$B183)*(Data!$C$2:$C$666=$C183)*(ISNUMBER(MATCH(Data!$D$2:$D$666,BaseMonths,0)))*Data!$E$2:$E$666)</f>
        <v>28233.08</v>
      </c>
      <c r="E183" s="12">
        <f>SUMPRODUCT((Data!$A$2:$A$666=$A183)*(Data!$B$2:$B$666=$B183)*(Data!$C$2:$C$666=$C183)*(ISNUMBER(MATCH(Data!$D$2:$D$666,CurrentMonths,0)))*Data!$E$2:$E$666)</f>
        <v>45369.4</v>
      </c>
      <c r="F183" s="12">
        <f>E183-D183</f>
        <v>17136.32</v>
      </c>
      <c r="G183" s="13">
        <f>IF(D183=0,"",F183/ABS(D183))</f>
        <v>0.6069589290293513</v>
      </c>
      <c r="H183" s="10" t="str">
        <f>IF(ABS(F183)&gt;=Threshold,"Yes","No")</f>
        <v>No</v>
      </c>
      <c r="I183" s="10" t="s">
        <v>18</v>
      </c>
    </row>
    <row r="184" spans="1:9">
      <c r="A184" s="10" t="s">
        <v>305</v>
      </c>
      <c r="B184" s="10" t="s">
        <v>67</v>
      </c>
      <c r="C184" s="10" t="s">
        <v>320</v>
      </c>
      <c r="D184" s="12">
        <f>SUMPRODUCT((Data!$A$2:$A$666=$A184)*(Data!$B$2:$B$666=$B184)*(Data!$C$2:$C$666=$C184)*(ISNUMBER(MATCH(Data!$D$2:$D$666,BaseMonths,0)))*Data!$E$2:$E$666)</f>
        <v>32458.88</v>
      </c>
      <c r="E184" s="12">
        <f>SUMPRODUCT((Data!$A$2:$A$666=$A184)*(Data!$B$2:$B$666=$B184)*(Data!$C$2:$C$666=$C184)*(ISNUMBER(MATCH(Data!$D$2:$D$666,CurrentMonths,0)))*Data!$E$2:$E$666)</f>
        <v>15557.03</v>
      </c>
      <c r="F184" s="12">
        <f>E184-D184</f>
        <v>-16901.85</v>
      </c>
      <c r="G184" s="13">
        <f>IF(D184=0,"",F184/ABS(D184))</f>
        <v>-0.5207157486641559</v>
      </c>
      <c r="H184" s="10" t="str">
        <f>IF(ABS(F184)&gt;=Threshold,"Yes","No")</f>
        <v>No</v>
      </c>
      <c r="I184" s="10" t="s">
        <v>18</v>
      </c>
    </row>
    <row r="185" spans="1:9">
      <c r="A185" s="10" t="s">
        <v>289</v>
      </c>
      <c r="B185" s="10" t="s">
        <v>67</v>
      </c>
      <c r="C185" s="10" t="s">
        <v>292</v>
      </c>
      <c r="D185" s="12">
        <f>SUMPRODUCT((Data!$A$2:$A$666=$A185)*(Data!$B$2:$B$666=$B185)*(Data!$C$2:$C$666=$C185)*(ISNUMBER(MATCH(Data!$D$2:$D$666,BaseMonths,0)))*Data!$E$2:$E$666)</f>
        <v>16788.71</v>
      </c>
      <c r="E185" s="12">
        <f>SUMPRODUCT((Data!$A$2:$A$666=$A185)*(Data!$B$2:$B$666=$B185)*(Data!$C$2:$C$666=$C185)*(ISNUMBER(MATCH(Data!$D$2:$D$666,CurrentMonths,0)))*Data!$E$2:$E$666)</f>
        <v>0.0</v>
      </c>
      <c r="F185" s="12">
        <f>E185-D185</f>
        <v>-16788.71</v>
      </c>
      <c r="G185" s="13">
        <f>IF(D185=0,"",F185/ABS(D185))</f>
        <v>-1.0</v>
      </c>
      <c r="H185" s="10" t="str">
        <f>IF(ABS(F185)&gt;=Threshold,"Yes","No")</f>
        <v>No</v>
      </c>
      <c r="I185" s="10" t="s">
        <v>18</v>
      </c>
    </row>
    <row r="186" spans="1:9">
      <c r="A186" s="10" t="s">
        <v>213</v>
      </c>
      <c r="B186" s="10" t="s">
        <v>67</v>
      </c>
      <c r="C186" s="10" t="s">
        <v>223</v>
      </c>
      <c r="D186" s="12">
        <f>SUMPRODUCT((Data!$A$2:$A$666=$A186)*(Data!$B$2:$B$666=$B186)*(Data!$C$2:$C$666=$C186)*(ISNUMBER(MATCH(Data!$D$2:$D$666,BaseMonths,0)))*Data!$E$2:$E$666)</f>
        <v>33232.99</v>
      </c>
      <c r="E186" s="12">
        <f>SUMPRODUCT((Data!$A$2:$A$666=$A186)*(Data!$B$2:$B$666=$B186)*(Data!$C$2:$C$666=$C186)*(ISNUMBER(MATCH(Data!$D$2:$D$666,CurrentMonths,0)))*Data!$E$2:$E$666)</f>
        <v>16513.54</v>
      </c>
      <c r="F186" s="12">
        <f>E186-D186</f>
        <v>-16719.45</v>
      </c>
      <c r="G186" s="13">
        <f>IF(D186=0,"",F186/ABS(D186))</f>
        <v>-0.5030979758366612</v>
      </c>
      <c r="H186" s="10" t="str">
        <f>IF(ABS(F186)&gt;=Threshold,"Yes","No")</f>
        <v>No</v>
      </c>
      <c r="I186" s="10" t="s">
        <v>18</v>
      </c>
    </row>
    <row r="187" spans="1:9">
      <c r="A187" s="10" t="s">
        <v>181</v>
      </c>
      <c r="B187" s="10" t="s">
        <v>34</v>
      </c>
      <c r="C187" s="10" t="s">
        <v>186</v>
      </c>
      <c r="D187" s="12">
        <f>SUMPRODUCT((Data!$A$2:$A$666=$A187)*(Data!$B$2:$B$666=$B187)*(Data!$C$2:$C$666=$C187)*(ISNUMBER(MATCH(Data!$D$2:$D$666,BaseMonths,0)))*Data!$E$2:$E$666)</f>
        <v>109390.15</v>
      </c>
      <c r="E187" s="12">
        <f>SUMPRODUCT((Data!$A$2:$A$666=$A187)*(Data!$B$2:$B$666=$B187)*(Data!$C$2:$C$666=$C187)*(ISNUMBER(MATCH(Data!$D$2:$D$666,CurrentMonths,0)))*Data!$E$2:$E$666)</f>
        <v>92739.26</v>
      </c>
      <c r="F187" s="12">
        <f>E187-D187</f>
        <v>-16650.89</v>
      </c>
      <c r="G187" s="13">
        <f>IF(D187=0,"",F187/ABS(D187))</f>
        <v>-0.15221562453292184</v>
      </c>
      <c r="H187" s="10" t="str">
        <f>IF(ABS(F187)&gt;=Threshold,"Yes","No")</f>
        <v>No</v>
      </c>
      <c r="I187" s="10" t="s">
        <v>18</v>
      </c>
    </row>
    <row r="188" spans="1:9">
      <c r="A188" s="10" t="s">
        <v>305</v>
      </c>
      <c r="B188" s="10" t="s">
        <v>67</v>
      </c>
      <c r="C188" s="10" t="s">
        <v>306</v>
      </c>
      <c r="D188" s="12">
        <f>SUMPRODUCT((Data!$A$2:$A$666=$A188)*(Data!$B$2:$B$666=$B188)*(Data!$C$2:$C$666=$C188)*(ISNUMBER(MATCH(Data!$D$2:$D$666,BaseMonths,0)))*Data!$E$2:$E$666)</f>
        <v>0.0</v>
      </c>
      <c r="E188" s="12">
        <f>SUMPRODUCT((Data!$A$2:$A$666=$A188)*(Data!$B$2:$B$666=$B188)*(Data!$C$2:$C$666=$C188)*(ISNUMBER(MATCH(Data!$D$2:$D$666,CurrentMonths,0)))*Data!$E$2:$E$666)</f>
        <v>16577.5</v>
      </c>
      <c r="F188" s="12">
        <f>E188-D188</f>
        <v>16577.5</v>
      </c>
      <c r="G188" s="13">
        <f>IF(D188=0,"",F188/ABS(D188))</f>
        <v/>
      </c>
      <c r="H188" s="10" t="str">
        <f>IF(ABS(F188)&gt;=Threshold,"Yes","No")</f>
        <v>No</v>
      </c>
      <c r="I188" s="10" t="s">
        <v>18</v>
      </c>
    </row>
    <row r="189" spans="1:9">
      <c r="A189" s="10" t="s">
        <v>161</v>
      </c>
      <c r="B189" s="10" t="s">
        <v>67</v>
      </c>
      <c r="C189" s="10" t="s">
        <v>165</v>
      </c>
      <c r="D189" s="12">
        <f>SUMPRODUCT((Data!$A$2:$A$666=$A189)*(Data!$B$2:$B$666=$B189)*(Data!$C$2:$C$666=$C189)*(ISNUMBER(MATCH(Data!$D$2:$D$666,BaseMonths,0)))*Data!$E$2:$E$666)</f>
        <v>46402.92</v>
      </c>
      <c r="E189" s="12">
        <f>SUMPRODUCT((Data!$A$2:$A$666=$A189)*(Data!$B$2:$B$666=$B189)*(Data!$C$2:$C$666=$C189)*(ISNUMBER(MATCH(Data!$D$2:$D$666,CurrentMonths,0)))*Data!$E$2:$E$666)</f>
        <v>29913.96</v>
      </c>
      <c r="F189" s="12">
        <f>E189-D189</f>
        <v>-16488.96</v>
      </c>
      <c r="G189" s="13">
        <f>IF(D189=0,"",F189/ABS(D189))</f>
        <v>-0.35534315512903064</v>
      </c>
      <c r="H189" s="10" t="str">
        <f>IF(ABS(F189)&gt;=Threshold,"Yes","No")</f>
        <v>No</v>
      </c>
      <c r="I189" s="10" t="s">
        <v>18</v>
      </c>
    </row>
    <row r="190" spans="1:9">
      <c r="A190" s="10" t="s">
        <v>322</v>
      </c>
      <c r="B190" s="10" t="s">
        <v>55</v>
      </c>
      <c r="C190" s="10" t="s">
        <v>354</v>
      </c>
      <c r="D190" s="12">
        <f>SUMPRODUCT((Data!$A$2:$A$666=$A190)*(Data!$B$2:$B$666=$B190)*(Data!$C$2:$C$666=$C190)*(ISNUMBER(MATCH(Data!$D$2:$D$666,BaseMonths,0)))*Data!$E$2:$E$666)</f>
        <v>97404.69</v>
      </c>
      <c r="E190" s="12">
        <f>SUMPRODUCT((Data!$A$2:$A$666=$A190)*(Data!$B$2:$B$666=$B190)*(Data!$C$2:$C$666=$C190)*(ISNUMBER(MATCH(Data!$D$2:$D$666,CurrentMonths,0)))*Data!$E$2:$E$666)</f>
        <v>81168.83</v>
      </c>
      <c r="F190" s="12">
        <f>E190-D190</f>
        <v>-16235.86</v>
      </c>
      <c r="G190" s="13">
        <f>IF(D190=0,"",F190/ABS(D190))</f>
        <v>-0.16668458161511526</v>
      </c>
      <c r="H190" s="10" t="str">
        <f>IF(ABS(F190)&gt;=Threshold,"Yes","No")</f>
        <v>No</v>
      </c>
      <c r="I190" s="10" t="s">
        <v>18</v>
      </c>
    </row>
    <row r="191" spans="1:9">
      <c r="A191" s="10" t="s">
        <v>289</v>
      </c>
      <c r="B191" s="10" t="s">
        <v>67</v>
      </c>
      <c r="C191" s="10" t="s">
        <v>294</v>
      </c>
      <c r="D191" s="12">
        <f>SUMPRODUCT((Data!$A$2:$A$666=$A191)*(Data!$B$2:$B$666=$B191)*(Data!$C$2:$C$666=$C191)*(ISNUMBER(MATCH(Data!$D$2:$D$666,BaseMonths,0)))*Data!$E$2:$E$666)</f>
        <v>26099.89</v>
      </c>
      <c r="E191" s="12">
        <f>SUMPRODUCT((Data!$A$2:$A$666=$A191)*(Data!$B$2:$B$666=$B191)*(Data!$C$2:$C$666=$C191)*(ISNUMBER(MATCH(Data!$D$2:$D$666,CurrentMonths,0)))*Data!$E$2:$E$666)</f>
        <v>10000.52</v>
      </c>
      <c r="F191" s="12">
        <f>E191-D191</f>
        <v>-16099.37</v>
      </c>
      <c r="G191" s="13">
        <f>IF(D191=0,"",F191/ABS(D191))</f>
        <v>-0.6168366993117596</v>
      </c>
      <c r="H191" s="10" t="str">
        <f>IF(ABS(F191)&gt;=Threshold,"Yes","No")</f>
        <v>No</v>
      </c>
      <c r="I191" s="10" t="s">
        <v>18</v>
      </c>
    </row>
    <row r="192" spans="1:9">
      <c r="A192" s="10" t="s">
        <v>176</v>
      </c>
      <c r="B192" s="10" t="s">
        <v>67</v>
      </c>
      <c r="C192" s="10" t="s">
        <v>179</v>
      </c>
      <c r="D192" s="12">
        <f>SUMPRODUCT((Data!$A$2:$A$666=$A192)*(Data!$B$2:$B$666=$B192)*(Data!$C$2:$C$666=$C192)*(ISNUMBER(MATCH(Data!$D$2:$D$666,BaseMonths,0)))*Data!$E$2:$E$666)</f>
        <v>1297.91</v>
      </c>
      <c r="E192" s="12">
        <f>SUMPRODUCT((Data!$A$2:$A$666=$A192)*(Data!$B$2:$B$666=$B192)*(Data!$C$2:$C$666=$C192)*(ISNUMBER(MATCH(Data!$D$2:$D$666,CurrentMonths,0)))*Data!$E$2:$E$666)</f>
        <v>17184.45</v>
      </c>
      <c r="F192" s="12">
        <f>E192-D192</f>
        <v>15886.54</v>
      </c>
      <c r="G192" s="13">
        <f>IF(D192=0,"",F192/ABS(D192))</f>
        <v>12.240093689084759</v>
      </c>
      <c r="H192" s="10" t="str">
        <f>IF(ABS(F192)&gt;=Threshold,"Yes","No")</f>
        <v>No</v>
      </c>
      <c r="I192" s="10" t="s">
        <v>18</v>
      </c>
    </row>
    <row r="193" spans="1:9">
      <c r="A193" s="10" t="s">
        <v>289</v>
      </c>
      <c r="B193" s="10" t="s">
        <v>67</v>
      </c>
      <c r="C193" s="10" t="s">
        <v>291</v>
      </c>
      <c r="D193" s="12">
        <f>SUMPRODUCT((Data!$A$2:$A$666=$A193)*(Data!$B$2:$B$666=$B193)*(Data!$C$2:$C$666=$C193)*(ISNUMBER(MATCH(Data!$D$2:$D$666,BaseMonths,0)))*Data!$E$2:$E$666)</f>
        <v>21138.55</v>
      </c>
      <c r="E193" s="12">
        <f>SUMPRODUCT((Data!$A$2:$A$666=$A193)*(Data!$B$2:$B$666=$B193)*(Data!$C$2:$C$666=$C193)*(ISNUMBER(MATCH(Data!$D$2:$D$666,CurrentMonths,0)))*Data!$E$2:$E$666)</f>
        <v>5779.67</v>
      </c>
      <c r="F193" s="12">
        <f>E193-D193</f>
        <v>-15358.88</v>
      </c>
      <c r="G193" s="13">
        <f>IF(D193=0,"",F193/ABS(D193))</f>
        <v>-0.7265815299535683</v>
      </c>
      <c r="H193" s="10" t="str">
        <f>IF(ABS(F193)&gt;=Threshold,"Yes","No")</f>
        <v>No</v>
      </c>
      <c r="I193" s="10" t="s">
        <v>18</v>
      </c>
    </row>
    <row r="194" spans="1:9">
      <c r="A194" s="10" t="s">
        <v>229</v>
      </c>
      <c r="B194" s="10" t="s">
        <v>67</v>
      </c>
      <c r="C194" s="10" t="s">
        <v>245</v>
      </c>
      <c r="D194" s="12">
        <f>SUMPRODUCT((Data!$A$2:$A$666=$A194)*(Data!$B$2:$B$666=$B194)*(Data!$C$2:$C$666=$C194)*(ISNUMBER(MATCH(Data!$D$2:$D$666,BaseMonths,0)))*Data!$E$2:$E$666)</f>
        <v>75903.34</v>
      </c>
      <c r="E194" s="12">
        <f>SUMPRODUCT((Data!$A$2:$A$666=$A194)*(Data!$B$2:$B$666=$B194)*(Data!$C$2:$C$666=$C194)*(ISNUMBER(MATCH(Data!$D$2:$D$666,CurrentMonths,0)))*Data!$E$2:$E$666)</f>
        <v>60772.04</v>
      </c>
      <c r="F194" s="12">
        <f>E194-D194</f>
        <v>-15131.3</v>
      </c>
      <c r="G194" s="13">
        <f>IF(D194=0,"",F194/ABS(D194))</f>
        <v>-0.1993495938386901</v>
      </c>
      <c r="H194" s="10" t="str">
        <f>IF(ABS(F194)&gt;=Threshold,"Yes","No")</f>
        <v>No</v>
      </c>
      <c r="I194" s="10" t="s">
        <v>18</v>
      </c>
    </row>
    <row r="195" spans="1:9">
      <c r="A195" s="10" t="s">
        <v>213</v>
      </c>
      <c r="B195" s="10" t="s">
        <v>67</v>
      </c>
      <c r="C195" s="10" t="s">
        <v>217</v>
      </c>
      <c r="D195" s="12">
        <f>SUMPRODUCT((Data!$A$2:$A$666=$A195)*(Data!$B$2:$B$666=$B195)*(Data!$C$2:$C$666=$C195)*(ISNUMBER(MATCH(Data!$D$2:$D$666,BaseMonths,0)))*Data!$E$2:$E$666)</f>
        <v>57748.0</v>
      </c>
      <c r="E195" s="12">
        <f>SUMPRODUCT((Data!$A$2:$A$666=$A195)*(Data!$B$2:$B$666=$B195)*(Data!$C$2:$C$666=$C195)*(ISNUMBER(MATCH(Data!$D$2:$D$666,CurrentMonths,0)))*Data!$E$2:$E$666)</f>
        <v>42677.27</v>
      </c>
      <c r="F195" s="12">
        <f>E195-D195</f>
        <v>-15070.73</v>
      </c>
      <c r="G195" s="13">
        <f>IF(D195=0,"",F195/ABS(D195))</f>
        <v>-0.2609740597076955</v>
      </c>
      <c r="H195" s="10" t="str">
        <f>IF(ABS(F195)&gt;=Threshold,"Yes","No")</f>
        <v>No</v>
      </c>
      <c r="I195" s="10" t="s">
        <v>18</v>
      </c>
    </row>
    <row r="196" spans="1:9">
      <c r="A196" s="10" t="s">
        <v>33</v>
      </c>
      <c r="B196" s="10" t="s">
        <v>34</v>
      </c>
      <c r="C196" s="10" t="s">
        <v>43</v>
      </c>
      <c r="D196" s="12">
        <f>SUMPRODUCT((Data!$A$2:$A$666=$A196)*(Data!$B$2:$B$666=$B196)*(Data!$C$2:$C$666=$C196)*(ISNUMBER(MATCH(Data!$D$2:$D$666,BaseMonths,0)))*Data!$E$2:$E$666)</f>
        <v>30553.16</v>
      </c>
      <c r="E196" s="12">
        <f>SUMPRODUCT((Data!$A$2:$A$666=$A196)*(Data!$B$2:$B$666=$B196)*(Data!$C$2:$C$666=$C196)*(ISNUMBER(MATCH(Data!$D$2:$D$666,CurrentMonths,0)))*Data!$E$2:$E$666)</f>
        <v>45610.03</v>
      </c>
      <c r="F196" s="12">
        <f>E196-D196</f>
        <v>15056.87</v>
      </c>
      <c r="G196" s="13">
        <f>IF(D196=0,"",F196/ABS(D196))</f>
        <v>0.49280892712897784</v>
      </c>
      <c r="H196" s="10" t="str">
        <f>IF(ABS(F196)&gt;=Threshold,"Yes","No")</f>
        <v>No</v>
      </c>
      <c r="I196" s="10" t="s">
        <v>18</v>
      </c>
    </row>
    <row r="197" spans="1:9">
      <c r="A197" s="10" t="s">
        <v>54</v>
      </c>
      <c r="B197" s="10" t="s">
        <v>55</v>
      </c>
      <c r="C197" s="10" t="s">
        <v>65</v>
      </c>
      <c r="D197" s="12">
        <f>SUMPRODUCT((Data!$A$2:$A$666=$A197)*(Data!$B$2:$B$666=$B197)*(Data!$C$2:$C$666=$C197)*(ISNUMBER(MATCH(Data!$D$2:$D$666,BaseMonths,0)))*Data!$E$2:$E$666)</f>
        <v>71851.74</v>
      </c>
      <c r="E197" s="12">
        <f>SUMPRODUCT((Data!$A$2:$A$666=$A197)*(Data!$B$2:$B$666=$B197)*(Data!$C$2:$C$666=$C197)*(ISNUMBER(MATCH(Data!$D$2:$D$666,CurrentMonths,0)))*Data!$E$2:$E$666)</f>
        <v>57098.03</v>
      </c>
      <c r="F197" s="12">
        <f>E197-D197</f>
        <v>-14753.71</v>
      </c>
      <c r="G197" s="13">
        <f>IF(D197=0,"",F197/ABS(D197))</f>
        <v>-0.20533545882117812</v>
      </c>
      <c r="H197" s="10" t="str">
        <f>IF(ABS(F197)&gt;=Threshold,"Yes","No")</f>
        <v>No</v>
      </c>
      <c r="I197" s="10" t="s">
        <v>18</v>
      </c>
    </row>
    <row r="198" spans="1:9">
      <c r="A198" s="10" t="s">
        <v>94</v>
      </c>
      <c r="B198" s="10" t="s">
        <v>34</v>
      </c>
      <c r="C198" s="10" t="s">
        <v>96</v>
      </c>
      <c r="D198" s="12">
        <f>SUMPRODUCT((Data!$A$2:$A$666=$A198)*(Data!$B$2:$B$666=$B198)*(Data!$C$2:$C$666=$C198)*(ISNUMBER(MATCH(Data!$D$2:$D$666,BaseMonths,0)))*Data!$E$2:$E$666)</f>
        <v>39314.86</v>
      </c>
      <c r="E198" s="12">
        <f>SUMPRODUCT((Data!$A$2:$A$666=$A198)*(Data!$B$2:$B$666=$B198)*(Data!$C$2:$C$666=$C198)*(ISNUMBER(MATCH(Data!$D$2:$D$666,CurrentMonths,0)))*Data!$E$2:$E$666)</f>
        <v>54037.85</v>
      </c>
      <c r="F198" s="12">
        <f>E198-D198</f>
        <v>14722.99</v>
      </c>
      <c r="G198" s="13">
        <f>IF(D198=0,"",F198/ABS(D198))</f>
        <v>0.37448918805764536</v>
      </c>
      <c r="H198" s="10" t="str">
        <f>IF(ABS(F198)&gt;=Threshold,"Yes","No")</f>
        <v>No</v>
      </c>
      <c r="I198" s="10" t="s">
        <v>18</v>
      </c>
    </row>
    <row r="199" spans="1:9">
      <c r="A199" s="10" t="s">
        <v>70</v>
      </c>
      <c r="B199" s="10" t="s">
        <v>55</v>
      </c>
      <c r="C199" s="10" t="s">
        <v>81</v>
      </c>
      <c r="D199" s="12">
        <f>SUMPRODUCT((Data!$A$2:$A$666=$A199)*(Data!$B$2:$B$666=$B199)*(Data!$C$2:$C$666=$C199)*(ISNUMBER(MATCH(Data!$D$2:$D$666,BaseMonths,0)))*Data!$E$2:$E$666)</f>
        <v>48730.18</v>
      </c>
      <c r="E199" s="12">
        <f>SUMPRODUCT((Data!$A$2:$A$666=$A199)*(Data!$B$2:$B$666=$B199)*(Data!$C$2:$C$666=$C199)*(ISNUMBER(MATCH(Data!$D$2:$D$666,CurrentMonths,0)))*Data!$E$2:$E$666)</f>
        <v>34136.04</v>
      </c>
      <c r="F199" s="12">
        <f>E199-D199</f>
        <v>-14594.14</v>
      </c>
      <c r="G199" s="13">
        <f>IF(D199=0,"",F199/ABS(D199))</f>
        <v>-0.2994887357280437</v>
      </c>
      <c r="H199" s="10" t="str">
        <f>IF(ABS(F199)&gt;=Threshold,"Yes","No")</f>
        <v>No</v>
      </c>
      <c r="I199" s="10" t="s">
        <v>18</v>
      </c>
    </row>
    <row r="200" spans="1:9">
      <c r="A200" s="10" t="s">
        <v>305</v>
      </c>
      <c r="B200" s="10" t="s">
        <v>67</v>
      </c>
      <c r="C200" s="10" t="s">
        <v>317</v>
      </c>
      <c r="D200" s="12">
        <f>SUMPRODUCT((Data!$A$2:$A$666=$A200)*(Data!$B$2:$B$666=$B200)*(Data!$C$2:$C$666=$C200)*(ISNUMBER(MATCH(Data!$D$2:$D$666,BaseMonths,0)))*Data!$E$2:$E$666)</f>
        <v>10857.64</v>
      </c>
      <c r="E200" s="12">
        <f>SUMPRODUCT((Data!$A$2:$A$666=$A200)*(Data!$B$2:$B$666=$B200)*(Data!$C$2:$C$666=$C200)*(ISNUMBER(MATCH(Data!$D$2:$D$666,CurrentMonths,0)))*Data!$E$2:$E$666)</f>
        <v>25410.07</v>
      </c>
      <c r="F200" s="12">
        <f>E200-D200</f>
        <v>14552.43</v>
      </c>
      <c r="G200" s="13">
        <f>IF(D200=0,"",F200/ABS(D200))</f>
        <v>1.3402940233789296</v>
      </c>
      <c r="H200" s="10" t="str">
        <f>IF(ABS(F200)&gt;=Threshold,"Yes","No")</f>
        <v>No</v>
      </c>
      <c r="I200" s="10" t="s">
        <v>18</v>
      </c>
    </row>
    <row r="201" spans="1:9">
      <c r="A201" s="10" t="s">
        <v>33</v>
      </c>
      <c r="B201" s="10" t="s">
        <v>34</v>
      </c>
      <c r="C201" s="10" t="s">
        <v>35</v>
      </c>
      <c r="D201" s="12">
        <f>SUMPRODUCT((Data!$A$2:$A$666=$A201)*(Data!$B$2:$B$666=$B201)*(Data!$C$2:$C$666=$C201)*(ISNUMBER(MATCH(Data!$D$2:$D$666,BaseMonths,0)))*Data!$E$2:$E$666)</f>
        <v>17203.27</v>
      </c>
      <c r="E201" s="12">
        <f>SUMPRODUCT((Data!$A$2:$A$666=$A201)*(Data!$B$2:$B$666=$B201)*(Data!$C$2:$C$666=$C201)*(ISNUMBER(MATCH(Data!$D$2:$D$666,CurrentMonths,0)))*Data!$E$2:$E$666)</f>
        <v>2712.05</v>
      </c>
      <c r="F201" s="12">
        <f>E201-D201</f>
        <v>-14491.22</v>
      </c>
      <c r="G201" s="13">
        <f>IF(D201=0,"",F201/ABS(D201))</f>
        <v>-0.8423526457470004</v>
      </c>
      <c r="H201" s="10" t="str">
        <f>IF(ABS(F201)&gt;=Threshold,"Yes","No")</f>
        <v>No</v>
      </c>
      <c r="I201" s="10" t="s">
        <v>18</v>
      </c>
    </row>
    <row r="202" spans="1:9">
      <c r="A202" s="10" t="s">
        <v>322</v>
      </c>
      <c r="B202" s="10" t="s">
        <v>55</v>
      </c>
      <c r="C202" s="10" t="s">
        <v>394</v>
      </c>
      <c r="D202" s="12">
        <f>SUMPRODUCT((Data!$A$2:$A$666=$A202)*(Data!$B$2:$B$666=$B202)*(Data!$C$2:$C$666=$C202)*(ISNUMBER(MATCH(Data!$D$2:$D$666,BaseMonths,0)))*Data!$E$2:$E$666)</f>
        <v>31449.74</v>
      </c>
      <c r="E202" s="12">
        <f>SUMPRODUCT((Data!$A$2:$A$666=$A202)*(Data!$B$2:$B$666=$B202)*(Data!$C$2:$C$666=$C202)*(ISNUMBER(MATCH(Data!$D$2:$D$666,CurrentMonths,0)))*Data!$E$2:$E$666)</f>
        <v>17079.59</v>
      </c>
      <c r="F202" s="12">
        <f>E202-D202</f>
        <v>-14370.15</v>
      </c>
      <c r="G202" s="13">
        <f>IF(D202=0,"",F202/ABS(D202))</f>
        <v>-0.45692428617851844</v>
      </c>
      <c r="H202" s="10" t="str">
        <f>IF(ABS(F202)&gt;=Threshold,"Yes","No")</f>
        <v>No</v>
      </c>
      <c r="I202" s="10" t="s">
        <v>18</v>
      </c>
    </row>
    <row r="203" spans="1:9">
      <c r="A203" s="10" t="s">
        <v>181</v>
      </c>
      <c r="B203" s="10" t="s">
        <v>34</v>
      </c>
      <c r="C203" s="10" t="s">
        <v>188</v>
      </c>
      <c r="D203" s="12">
        <f>SUMPRODUCT((Data!$A$2:$A$666=$A203)*(Data!$B$2:$B$666=$B203)*(Data!$C$2:$C$666=$C203)*(ISNUMBER(MATCH(Data!$D$2:$D$666,BaseMonths,0)))*Data!$E$2:$E$666)</f>
        <v>146063.9</v>
      </c>
      <c r="E203" s="12">
        <f>SUMPRODUCT((Data!$A$2:$A$666=$A203)*(Data!$B$2:$B$666=$B203)*(Data!$C$2:$C$666=$C203)*(ISNUMBER(MATCH(Data!$D$2:$D$666,CurrentMonths,0)))*Data!$E$2:$E$666)</f>
        <v>131814.99</v>
      </c>
      <c r="F203" s="12">
        <f>E203-D203</f>
        <v>-14248.91</v>
      </c>
      <c r="G203" s="13">
        <f>IF(D203=0,"",F203/ABS(D203))</f>
        <v>-0.0975525780155124</v>
      </c>
      <c r="H203" s="10" t="str">
        <f>IF(ABS(F203)&gt;=Threshold,"Yes","No")</f>
        <v>No</v>
      </c>
      <c r="I203" s="10" t="s">
        <v>18</v>
      </c>
    </row>
    <row r="204" spans="1:9">
      <c r="A204" s="10" t="s">
        <v>322</v>
      </c>
      <c r="B204" s="10" t="s">
        <v>55</v>
      </c>
      <c r="C204" s="10" t="s">
        <v>377</v>
      </c>
      <c r="D204" s="12">
        <f>SUMPRODUCT((Data!$A$2:$A$666=$A204)*(Data!$B$2:$B$666=$B204)*(Data!$C$2:$C$666=$C204)*(ISNUMBER(MATCH(Data!$D$2:$D$666,BaseMonths,0)))*Data!$E$2:$E$666)</f>
        <v>419451.4</v>
      </c>
      <c r="E204" s="12">
        <f>SUMPRODUCT((Data!$A$2:$A$666=$A204)*(Data!$B$2:$B$666=$B204)*(Data!$C$2:$C$666=$C204)*(ISNUMBER(MATCH(Data!$D$2:$D$666,CurrentMonths,0)))*Data!$E$2:$E$666)</f>
        <v>405343.57</v>
      </c>
      <c r="F204" s="12">
        <f>E204-D204</f>
        <v>-14107.83</v>
      </c>
      <c r="G204" s="13">
        <f>IF(D204=0,"",F204/ABS(D204))</f>
        <v>-0.0336340038440687</v>
      </c>
      <c r="H204" s="10" t="str">
        <f>IF(ABS(F204)&gt;=Threshold,"Yes","No")</f>
        <v>No</v>
      </c>
      <c r="I204" s="10" t="s">
        <v>18</v>
      </c>
    </row>
    <row r="205" spans="1:9">
      <c r="A205" s="10" t="s">
        <v>111</v>
      </c>
      <c r="B205" s="10" t="s">
        <v>67</v>
      </c>
      <c r="C205" s="10" t="s">
        <v>112</v>
      </c>
      <c r="D205" s="12">
        <f>SUMPRODUCT((Data!$A$2:$A$666=$A205)*(Data!$B$2:$B$666=$B205)*(Data!$C$2:$C$666=$C205)*(ISNUMBER(MATCH(Data!$D$2:$D$666,BaseMonths,0)))*Data!$E$2:$E$666)</f>
        <v>76135.83</v>
      </c>
      <c r="E205" s="12">
        <f>SUMPRODUCT((Data!$A$2:$A$666=$A205)*(Data!$B$2:$B$666=$B205)*(Data!$C$2:$C$666=$C205)*(ISNUMBER(MATCH(Data!$D$2:$D$666,CurrentMonths,0)))*Data!$E$2:$E$666)</f>
        <v>89726.13</v>
      </c>
      <c r="F205" s="12">
        <f>E205-D205</f>
        <v>13590.3</v>
      </c>
      <c r="G205" s="13">
        <f>IF(D205=0,"",F205/ABS(D205))</f>
        <v>0.17850071379007754</v>
      </c>
      <c r="H205" s="10" t="str">
        <f>IF(ABS(F205)&gt;=Threshold,"Yes","No")</f>
        <v>No</v>
      </c>
      <c r="I205" s="10" t="s">
        <v>18</v>
      </c>
    </row>
    <row r="206" spans="1:9">
      <c r="A206" s="10" t="s">
        <v>322</v>
      </c>
      <c r="B206" s="10" t="s">
        <v>55</v>
      </c>
      <c r="C206" s="10" t="s">
        <v>327</v>
      </c>
      <c r="D206" s="12">
        <f>SUMPRODUCT((Data!$A$2:$A$666=$A206)*(Data!$B$2:$B$666=$B206)*(Data!$C$2:$C$666=$C206)*(ISNUMBER(MATCH(Data!$D$2:$D$666,BaseMonths,0)))*Data!$E$2:$E$666)</f>
        <v>60032.02</v>
      </c>
      <c r="E206" s="12">
        <f>SUMPRODUCT((Data!$A$2:$A$666=$A206)*(Data!$B$2:$B$666=$B206)*(Data!$C$2:$C$666=$C206)*(ISNUMBER(MATCH(Data!$D$2:$D$666,CurrentMonths,0)))*Data!$E$2:$E$666)</f>
        <v>46453.58</v>
      </c>
      <c r="F206" s="12">
        <f>E206-D206</f>
        <v>-13578.44</v>
      </c>
      <c r="G206" s="13">
        <f>IF(D206=0,"",F206/ABS(D206))</f>
        <v>-0.22618662507108708</v>
      </c>
      <c r="H206" s="10" t="str">
        <f>IF(ABS(F206)&gt;=Threshold,"Yes","No")</f>
        <v>No</v>
      </c>
      <c r="I206" s="10" t="s">
        <v>18</v>
      </c>
    </row>
    <row r="207" spans="1:9">
      <c r="A207" s="10" t="s">
        <v>208</v>
      </c>
      <c r="B207" s="10" t="s">
        <v>55</v>
      </c>
      <c r="C207" s="10" t="s">
        <v>210</v>
      </c>
      <c r="D207" s="12">
        <f>SUMPRODUCT((Data!$A$2:$A$666=$A207)*(Data!$B$2:$B$666=$B207)*(Data!$C$2:$C$666=$C207)*(ISNUMBER(MATCH(Data!$D$2:$D$666,BaseMonths,0)))*Data!$E$2:$E$666)</f>
        <v>29431.35</v>
      </c>
      <c r="E207" s="12">
        <f>SUMPRODUCT((Data!$A$2:$A$666=$A207)*(Data!$B$2:$B$666=$B207)*(Data!$C$2:$C$666=$C207)*(ISNUMBER(MATCH(Data!$D$2:$D$666,CurrentMonths,0)))*Data!$E$2:$E$666)</f>
        <v>15895.17</v>
      </c>
      <c r="F207" s="12">
        <f>E207-D207</f>
        <v>-13536.18</v>
      </c>
      <c r="G207" s="13">
        <f>IF(D207=0,"",F207/ABS(D207))</f>
        <v>-0.45992385670382097</v>
      </c>
      <c r="H207" s="10" t="str">
        <f>IF(ABS(F207)&gt;=Threshold,"Yes","No")</f>
        <v>No</v>
      </c>
      <c r="I207" s="10" t="s">
        <v>18</v>
      </c>
    </row>
    <row r="208" spans="1:9">
      <c r="A208" s="10" t="s">
        <v>300</v>
      </c>
      <c r="B208" s="10" t="s">
        <v>67</v>
      </c>
      <c r="C208" s="10" t="s">
        <v>302</v>
      </c>
      <c r="D208" s="12">
        <f>SUMPRODUCT((Data!$A$2:$A$666=$A208)*(Data!$B$2:$B$666=$B208)*(Data!$C$2:$C$666=$C208)*(ISNUMBER(MATCH(Data!$D$2:$D$666,BaseMonths,0)))*Data!$E$2:$E$666)</f>
        <v>73223.01</v>
      </c>
      <c r="E208" s="12">
        <f>SUMPRODUCT((Data!$A$2:$A$666=$A208)*(Data!$B$2:$B$666=$B208)*(Data!$C$2:$C$666=$C208)*(ISNUMBER(MATCH(Data!$D$2:$D$666,CurrentMonths,0)))*Data!$E$2:$E$666)</f>
        <v>86567.6</v>
      </c>
      <c r="F208" s="12">
        <f>E208-D208</f>
        <v>13344.59</v>
      </c>
      <c r="G208" s="13">
        <f>IF(D208=0,"",F208/ABS(D208))</f>
        <v>0.18224585413792743</v>
      </c>
      <c r="H208" s="10" t="str">
        <f>IF(ABS(F208)&gt;=Threshold,"Yes","No")</f>
        <v>No</v>
      </c>
      <c r="I208" s="10" t="s">
        <v>18</v>
      </c>
    </row>
    <row r="209" spans="1:9">
      <c r="A209" s="10" t="s">
        <v>322</v>
      </c>
      <c r="B209" s="10" t="s">
        <v>55</v>
      </c>
      <c r="C209" s="10" t="s">
        <v>361</v>
      </c>
      <c r="D209" s="12">
        <f>SUMPRODUCT((Data!$A$2:$A$666=$A209)*(Data!$B$2:$B$666=$B209)*(Data!$C$2:$C$666=$C209)*(ISNUMBER(MATCH(Data!$D$2:$D$666,BaseMonths,0)))*Data!$E$2:$E$666)</f>
        <v>31883.31</v>
      </c>
      <c r="E209" s="12">
        <f>SUMPRODUCT((Data!$A$2:$A$666=$A209)*(Data!$B$2:$B$666=$B209)*(Data!$C$2:$C$666=$C209)*(ISNUMBER(MATCH(Data!$D$2:$D$666,CurrentMonths,0)))*Data!$E$2:$E$666)</f>
        <v>18795.38</v>
      </c>
      <c r="F209" s="12">
        <f>E209-D209</f>
        <v>-13087.93</v>
      </c>
      <c r="G209" s="13">
        <f>IF(D209=0,"",F209/ABS(D209))</f>
        <v>-0.41049470710537894</v>
      </c>
      <c r="H209" s="10" t="str">
        <f>IF(ABS(F209)&gt;=Threshold,"Yes","No")</f>
        <v>No</v>
      </c>
      <c r="I209" s="10" t="s">
        <v>18</v>
      </c>
    </row>
    <row r="210" spans="1:9">
      <c r="A210" s="10" t="s">
        <v>123</v>
      </c>
      <c r="B210" s="10" t="s">
        <v>67</v>
      </c>
      <c r="C210" s="10" t="s">
        <v>124</v>
      </c>
      <c r="D210" s="12">
        <f>SUMPRODUCT((Data!$A$2:$A$666=$A210)*(Data!$B$2:$B$666=$B210)*(Data!$C$2:$C$666=$C210)*(ISNUMBER(MATCH(Data!$D$2:$D$666,BaseMonths,0)))*Data!$E$2:$E$666)</f>
        <v>46562.98</v>
      </c>
      <c r="E210" s="12">
        <f>SUMPRODUCT((Data!$A$2:$A$666=$A210)*(Data!$B$2:$B$666=$B210)*(Data!$C$2:$C$666=$C210)*(ISNUMBER(MATCH(Data!$D$2:$D$666,CurrentMonths,0)))*Data!$E$2:$E$666)</f>
        <v>59432.34</v>
      </c>
      <c r="F210" s="12">
        <f>E210-D210</f>
        <v>12869.36</v>
      </c>
      <c r="G210" s="13">
        <f>IF(D210=0,"",F210/ABS(D210))</f>
        <v>0.27638609040916196</v>
      </c>
      <c r="H210" s="10" t="str">
        <f>IF(ABS(F210)&gt;=Threshold,"Yes","No")</f>
        <v>No</v>
      </c>
      <c r="I210" s="10" t="s">
        <v>18</v>
      </c>
    </row>
    <row r="211" spans="1:9">
      <c r="A211" s="10" t="s">
        <v>70</v>
      </c>
      <c r="B211" s="10" t="s">
        <v>55</v>
      </c>
      <c r="C211" s="10" t="s">
        <v>87</v>
      </c>
      <c r="D211" s="12">
        <f>SUMPRODUCT((Data!$A$2:$A$666=$A211)*(Data!$B$2:$B$666=$B211)*(Data!$C$2:$C$666=$C211)*(ISNUMBER(MATCH(Data!$D$2:$D$666,BaseMonths,0)))*Data!$E$2:$E$666)</f>
        <v>34243.42</v>
      </c>
      <c r="E211" s="12">
        <f>SUMPRODUCT((Data!$A$2:$A$666=$A211)*(Data!$B$2:$B$666=$B211)*(Data!$C$2:$C$666=$C211)*(ISNUMBER(MATCH(Data!$D$2:$D$666,CurrentMonths,0)))*Data!$E$2:$E$666)</f>
        <v>21427.39</v>
      </c>
      <c r="F211" s="12">
        <f>E211-D211</f>
        <v>-12816.03</v>
      </c>
      <c r="G211" s="13">
        <f>IF(D211=0,"",F211/ABS(D211))</f>
        <v>-0.37426255905514116</v>
      </c>
      <c r="H211" s="10" t="str">
        <f>IF(ABS(F211)&gt;=Threshold,"Yes","No")</f>
        <v>No</v>
      </c>
      <c r="I211" s="10" t="s">
        <v>18</v>
      </c>
    </row>
    <row r="212" spans="1:9">
      <c r="A212" s="10" t="s">
        <v>111</v>
      </c>
      <c r="B212" s="10" t="s">
        <v>67</v>
      </c>
      <c r="C212" s="10" t="s">
        <v>120</v>
      </c>
      <c r="D212" s="12">
        <f>SUMPRODUCT((Data!$A$2:$A$666=$A212)*(Data!$B$2:$B$666=$B212)*(Data!$C$2:$C$666=$C212)*(ISNUMBER(MATCH(Data!$D$2:$D$666,BaseMonths,0)))*Data!$E$2:$E$666)</f>
        <v>100181.42</v>
      </c>
      <c r="E212" s="12">
        <f>SUMPRODUCT((Data!$A$2:$A$666=$A212)*(Data!$B$2:$B$666=$B212)*(Data!$C$2:$C$666=$C212)*(ISNUMBER(MATCH(Data!$D$2:$D$666,CurrentMonths,0)))*Data!$E$2:$E$666)</f>
        <v>87419.4</v>
      </c>
      <c r="F212" s="12">
        <f>E212-D212</f>
        <v>-12762.02</v>
      </c>
      <c r="G212" s="13">
        <f>IF(D212=0,"",F212/ABS(D212))</f>
        <v>-0.12738909071163096</v>
      </c>
      <c r="H212" s="10" t="str">
        <f>IF(ABS(F212)&gt;=Threshold,"Yes","No")</f>
        <v>No</v>
      </c>
      <c r="I212" s="10" t="s">
        <v>18</v>
      </c>
    </row>
    <row r="213" spans="1:9">
      <c r="A213" s="10" t="s">
        <v>322</v>
      </c>
      <c r="B213" s="10" t="s">
        <v>55</v>
      </c>
      <c r="C213" s="10" t="s">
        <v>386</v>
      </c>
      <c r="D213" s="12">
        <f>SUMPRODUCT((Data!$A$2:$A$666=$A213)*(Data!$B$2:$B$666=$B213)*(Data!$C$2:$C$666=$C213)*(ISNUMBER(MATCH(Data!$D$2:$D$666,BaseMonths,0)))*Data!$E$2:$E$666)</f>
        <v>61543.28</v>
      </c>
      <c r="E213" s="12">
        <f>SUMPRODUCT((Data!$A$2:$A$666=$A213)*(Data!$B$2:$B$666=$B213)*(Data!$C$2:$C$666=$C213)*(ISNUMBER(MATCH(Data!$D$2:$D$666,CurrentMonths,0)))*Data!$E$2:$E$666)</f>
        <v>48891.82</v>
      </c>
      <c r="F213" s="12">
        <f>E213-D213</f>
        <v>-12651.46</v>
      </c>
      <c r="G213" s="13">
        <f>IF(D213=0,"",F213/ABS(D213))</f>
        <v>-0.20557012885891035</v>
      </c>
      <c r="H213" s="10" t="str">
        <f>IF(ABS(F213)&gt;=Threshold,"Yes","No")</f>
        <v>No</v>
      </c>
      <c r="I213" s="10" t="s">
        <v>18</v>
      </c>
    </row>
    <row r="214" spans="1:9">
      <c r="A214" s="10" t="s">
        <v>213</v>
      </c>
      <c r="B214" s="10" t="s">
        <v>67</v>
      </c>
      <c r="C214" s="10" t="s">
        <v>226</v>
      </c>
      <c r="D214" s="12">
        <f>SUMPRODUCT((Data!$A$2:$A$666=$A214)*(Data!$B$2:$B$666=$B214)*(Data!$C$2:$C$666=$C214)*(ISNUMBER(MATCH(Data!$D$2:$D$666,BaseMonths,0)))*Data!$E$2:$E$666)</f>
        <v>12415.26</v>
      </c>
      <c r="E214" s="12">
        <f>SUMPRODUCT((Data!$A$2:$A$666=$A214)*(Data!$B$2:$B$666=$B214)*(Data!$C$2:$C$666=$C214)*(ISNUMBER(MATCH(Data!$D$2:$D$666,CurrentMonths,0)))*Data!$E$2:$E$666)</f>
        <v>0.0</v>
      </c>
      <c r="F214" s="12">
        <f>E214-D214</f>
        <v>-12415.26</v>
      </c>
      <c r="G214" s="13">
        <f>IF(D214=0,"",F214/ABS(D214))</f>
        <v>-1.0</v>
      </c>
      <c r="H214" s="10" t="str">
        <f>IF(ABS(F214)&gt;=Threshold,"Yes","No")</f>
        <v>No</v>
      </c>
      <c r="I214" s="10" t="s">
        <v>18</v>
      </c>
    </row>
    <row r="215" spans="1:9">
      <c r="A215" s="10" t="s">
        <v>54</v>
      </c>
      <c r="B215" s="10" t="s">
        <v>55</v>
      </c>
      <c r="C215" s="10" t="s">
        <v>58</v>
      </c>
      <c r="D215" s="12">
        <f>SUMPRODUCT((Data!$A$2:$A$666=$A215)*(Data!$B$2:$B$666=$B215)*(Data!$C$2:$C$666=$C215)*(ISNUMBER(MATCH(Data!$D$2:$D$666,BaseMonths,0)))*Data!$E$2:$E$666)</f>
        <v>231377.52</v>
      </c>
      <c r="E215" s="12">
        <f>SUMPRODUCT((Data!$A$2:$A$666=$A215)*(Data!$B$2:$B$666=$B215)*(Data!$C$2:$C$666=$C215)*(ISNUMBER(MATCH(Data!$D$2:$D$666,CurrentMonths,0)))*Data!$E$2:$E$666)</f>
        <v>219442.13</v>
      </c>
      <c r="F215" s="12">
        <f>E215-D215</f>
        <v>-11935.39</v>
      </c>
      <c r="G215" s="13">
        <f>IF(D215=0,"",F215/ABS(D215))</f>
        <v>-0.05158405189925106</v>
      </c>
      <c r="H215" s="10" t="str">
        <f>IF(ABS(F215)&gt;=Threshold,"Yes","No")</f>
        <v>No</v>
      </c>
      <c r="I215" s="10" t="s">
        <v>18</v>
      </c>
    </row>
    <row r="216" spans="1:9">
      <c r="A216" s="10" t="s">
        <v>140</v>
      </c>
      <c r="B216" s="10" t="s">
        <v>67</v>
      </c>
      <c r="C216" s="10" t="s">
        <v>141</v>
      </c>
      <c r="D216" s="12">
        <f>SUMPRODUCT((Data!$A$2:$A$666=$A216)*(Data!$B$2:$B$666=$B216)*(Data!$C$2:$C$666=$C216)*(ISNUMBER(MATCH(Data!$D$2:$D$666,BaseMonths,0)))*Data!$E$2:$E$666)</f>
        <v>28722.74</v>
      </c>
      <c r="E216" s="12">
        <f>SUMPRODUCT((Data!$A$2:$A$666=$A216)*(Data!$B$2:$B$666=$B216)*(Data!$C$2:$C$666=$C216)*(ISNUMBER(MATCH(Data!$D$2:$D$666,CurrentMonths,0)))*Data!$E$2:$E$666)</f>
        <v>16803.44</v>
      </c>
      <c r="F216" s="12">
        <f>E216-D216</f>
        <v>-11919.3</v>
      </c>
      <c r="G216" s="13">
        <f>IF(D216=0,"",F216/ABS(D216))</f>
        <v>-0.41497781896852454</v>
      </c>
      <c r="H216" s="10" t="str">
        <f>IF(ABS(F216)&gt;=Threshold,"Yes","No")</f>
        <v>No</v>
      </c>
      <c r="I216" s="10" t="s">
        <v>18</v>
      </c>
    </row>
    <row r="217" spans="1:9">
      <c r="A217" s="10" t="s">
        <v>322</v>
      </c>
      <c r="B217" s="10" t="s">
        <v>55</v>
      </c>
      <c r="C217" s="10" t="s">
        <v>362</v>
      </c>
      <c r="D217" s="12">
        <f>SUMPRODUCT((Data!$A$2:$A$666=$A217)*(Data!$B$2:$B$666=$B217)*(Data!$C$2:$C$666=$C217)*(ISNUMBER(MATCH(Data!$D$2:$D$666,BaseMonths,0)))*Data!$E$2:$E$666)</f>
        <v>46931.81</v>
      </c>
      <c r="E217" s="12">
        <f>SUMPRODUCT((Data!$A$2:$A$666=$A217)*(Data!$B$2:$B$666=$B217)*(Data!$C$2:$C$666=$C217)*(ISNUMBER(MATCH(Data!$D$2:$D$666,CurrentMonths,0)))*Data!$E$2:$E$666)</f>
        <v>35086.64</v>
      </c>
      <c r="F217" s="12">
        <f>E217-D217</f>
        <v>-11845.17</v>
      </c>
      <c r="G217" s="13">
        <f>IF(D217=0,"",F217/ABS(D217))</f>
        <v>-0.25239107547737877</v>
      </c>
      <c r="H217" s="10" t="str">
        <f>IF(ABS(F217)&gt;=Threshold,"Yes","No")</f>
        <v>No</v>
      </c>
      <c r="I217" s="10" t="s">
        <v>18</v>
      </c>
    </row>
    <row r="218" spans="1:9">
      <c r="A218" s="10" t="s">
        <v>144</v>
      </c>
      <c r="B218" s="10" t="s">
        <v>34</v>
      </c>
      <c r="C218" s="10" t="s">
        <v>148</v>
      </c>
      <c r="D218" s="12">
        <f>SUMPRODUCT((Data!$A$2:$A$666=$A218)*(Data!$B$2:$B$666=$B218)*(Data!$C$2:$C$666=$C218)*(ISNUMBER(MATCH(Data!$D$2:$D$666,BaseMonths,0)))*Data!$E$2:$E$666)</f>
        <v>92966.88</v>
      </c>
      <c r="E218" s="12">
        <f>SUMPRODUCT((Data!$A$2:$A$666=$A218)*(Data!$B$2:$B$666=$B218)*(Data!$C$2:$C$666=$C218)*(ISNUMBER(MATCH(Data!$D$2:$D$666,CurrentMonths,0)))*Data!$E$2:$E$666)</f>
        <v>104528.22</v>
      </c>
      <c r="F218" s="12">
        <f>E218-D218</f>
        <v>11561.34</v>
      </c>
      <c r="G218" s="13">
        <f>IF(D218=0,"",F218/ABS(D218))</f>
        <v>0.12435977199622059</v>
      </c>
      <c r="H218" s="10" t="str">
        <f>IF(ABS(F218)&gt;=Threshold,"Yes","No")</f>
        <v>No</v>
      </c>
      <c r="I218" s="10" t="s">
        <v>18</v>
      </c>
    </row>
    <row r="219" spans="1:9">
      <c r="A219" s="10" t="s">
        <v>66</v>
      </c>
      <c r="B219" s="10" t="s">
        <v>67</v>
      </c>
      <c r="C219" s="10" t="s">
        <v>69</v>
      </c>
      <c r="D219" s="12">
        <f>SUMPRODUCT((Data!$A$2:$A$666=$A219)*(Data!$B$2:$B$666=$B219)*(Data!$C$2:$C$666=$C219)*(ISNUMBER(MATCH(Data!$D$2:$D$666,BaseMonths,0)))*Data!$E$2:$E$666)</f>
        <v>3544.14</v>
      </c>
      <c r="E219" s="12">
        <f>SUMPRODUCT((Data!$A$2:$A$666=$A219)*(Data!$B$2:$B$666=$B219)*(Data!$C$2:$C$666=$C219)*(ISNUMBER(MATCH(Data!$D$2:$D$666,CurrentMonths,0)))*Data!$E$2:$E$666)</f>
        <v>14983.91</v>
      </c>
      <c r="F219" s="12">
        <f>E219-D219</f>
        <v>11439.77</v>
      </c>
      <c r="G219" s="13">
        <f>IF(D219=0,"",F219/ABS(D219))</f>
        <v>3.2277985632621737</v>
      </c>
      <c r="H219" s="10" t="str">
        <f>IF(ABS(F219)&gt;=Threshold,"Yes","No")</f>
        <v>No</v>
      </c>
      <c r="I219" s="10" t="s">
        <v>18</v>
      </c>
    </row>
    <row r="220" spans="1:9">
      <c r="A220" s="10" t="s">
        <v>104</v>
      </c>
      <c r="B220" s="10" t="s">
        <v>67</v>
      </c>
      <c r="C220" s="10" t="s">
        <v>106</v>
      </c>
      <c r="D220" s="12">
        <f>SUMPRODUCT((Data!$A$2:$A$666=$A220)*(Data!$B$2:$B$666=$B220)*(Data!$C$2:$C$666=$C220)*(ISNUMBER(MATCH(Data!$D$2:$D$666,BaseMonths,0)))*Data!$E$2:$E$666)</f>
        <v>12033.61</v>
      </c>
      <c r="E220" s="12">
        <f>SUMPRODUCT((Data!$A$2:$A$666=$A220)*(Data!$B$2:$B$666=$B220)*(Data!$C$2:$C$666=$C220)*(ISNUMBER(MATCH(Data!$D$2:$D$666,CurrentMonths,0)))*Data!$E$2:$E$666)</f>
        <v>851.22</v>
      </c>
      <c r="F220" s="12">
        <f>E220-D220</f>
        <v>-11182.39</v>
      </c>
      <c r="G220" s="13">
        <f>IF(D220=0,"",F220/ABS(D220))</f>
        <v>-0.9292631222052234</v>
      </c>
      <c r="H220" s="10" t="str">
        <f>IF(ABS(F220)&gt;=Threshold,"Yes","No")</f>
        <v>No</v>
      </c>
      <c r="I220" s="10" t="s">
        <v>18</v>
      </c>
    </row>
    <row r="221" spans="1:9">
      <c r="A221" s="10" t="s">
        <v>322</v>
      </c>
      <c r="B221" s="10" t="s">
        <v>55</v>
      </c>
      <c r="C221" s="10" t="s">
        <v>356</v>
      </c>
      <c r="D221" s="12">
        <f>SUMPRODUCT((Data!$A$2:$A$666=$A221)*(Data!$B$2:$B$666=$B221)*(Data!$C$2:$C$666=$C221)*(ISNUMBER(MATCH(Data!$D$2:$D$666,BaseMonths,0)))*Data!$E$2:$E$666)</f>
        <v>28805.72</v>
      </c>
      <c r="E221" s="12">
        <f>SUMPRODUCT((Data!$A$2:$A$666=$A221)*(Data!$B$2:$B$666=$B221)*(Data!$C$2:$C$666=$C221)*(ISNUMBER(MATCH(Data!$D$2:$D$666,CurrentMonths,0)))*Data!$E$2:$E$666)</f>
        <v>39938.7</v>
      </c>
      <c r="F221" s="12">
        <f>E221-D221</f>
        <v>11132.98</v>
      </c>
      <c r="G221" s="13">
        <f>IF(D221=0,"",F221/ABS(D221))</f>
        <v>0.3864850453312745</v>
      </c>
      <c r="H221" s="10" t="str">
        <f>IF(ABS(F221)&gt;=Threshold,"Yes","No")</f>
        <v>No</v>
      </c>
      <c r="I221" s="10" t="s">
        <v>18</v>
      </c>
    </row>
    <row r="222" spans="1:9">
      <c r="A222" s="10" t="s">
        <v>144</v>
      </c>
      <c r="B222" s="10" t="s">
        <v>34</v>
      </c>
      <c r="C222" s="10" t="s">
        <v>149</v>
      </c>
      <c r="D222" s="12">
        <f>SUMPRODUCT((Data!$A$2:$A$666=$A222)*(Data!$B$2:$B$666=$B222)*(Data!$C$2:$C$666=$C222)*(ISNUMBER(MATCH(Data!$D$2:$D$666,BaseMonths,0)))*Data!$E$2:$E$666)</f>
        <v>66172.67</v>
      </c>
      <c r="E222" s="12">
        <f>SUMPRODUCT((Data!$A$2:$A$666=$A222)*(Data!$B$2:$B$666=$B222)*(Data!$C$2:$C$666=$C222)*(ISNUMBER(MATCH(Data!$D$2:$D$666,CurrentMonths,0)))*Data!$E$2:$E$666)</f>
        <v>77046.9</v>
      </c>
      <c r="F222" s="12">
        <f>E222-D222</f>
        <v>10874.23</v>
      </c>
      <c r="G222" s="13">
        <f>IF(D222=0,"",F222/ABS(D222))</f>
        <v>0.16433113549747955</v>
      </c>
      <c r="H222" s="10" t="str">
        <f>IF(ABS(F222)&gt;=Threshold,"Yes","No")</f>
        <v>No</v>
      </c>
      <c r="I222" s="10" t="s">
        <v>18</v>
      </c>
    </row>
    <row r="223" spans="1:9">
      <c r="A223" s="10" t="s">
        <v>229</v>
      </c>
      <c r="B223" s="10" t="s">
        <v>67</v>
      </c>
      <c r="C223" s="10" t="s">
        <v>234</v>
      </c>
      <c r="D223" s="12">
        <f>SUMPRODUCT((Data!$A$2:$A$666=$A223)*(Data!$B$2:$B$666=$B223)*(Data!$C$2:$C$666=$C223)*(ISNUMBER(MATCH(Data!$D$2:$D$666,BaseMonths,0)))*Data!$E$2:$E$666)</f>
        <v>79890.97</v>
      </c>
      <c r="E223" s="12">
        <f>SUMPRODUCT((Data!$A$2:$A$666=$A223)*(Data!$B$2:$B$666=$B223)*(Data!$C$2:$C$666=$C223)*(ISNUMBER(MATCH(Data!$D$2:$D$666,CurrentMonths,0)))*Data!$E$2:$E$666)</f>
        <v>69122.69</v>
      </c>
      <c r="F223" s="12">
        <f>E223-D223</f>
        <v>-10768.28</v>
      </c>
      <c r="G223" s="13">
        <f>IF(D223=0,"",F223/ABS(D223))</f>
        <v>-0.1347871981026141</v>
      </c>
      <c r="H223" s="10" t="str">
        <f>IF(ABS(F223)&gt;=Threshold,"Yes","No")</f>
        <v>No</v>
      </c>
      <c r="I223" s="10" t="s">
        <v>18</v>
      </c>
    </row>
    <row r="224" spans="1:9">
      <c r="A224" s="10" t="s">
        <v>70</v>
      </c>
      <c r="B224" s="10" t="s">
        <v>55</v>
      </c>
      <c r="C224" s="10" t="s">
        <v>71</v>
      </c>
      <c r="D224" s="12">
        <f>SUMPRODUCT((Data!$A$2:$A$666=$A224)*(Data!$B$2:$B$666=$B224)*(Data!$C$2:$C$666=$C224)*(ISNUMBER(MATCH(Data!$D$2:$D$666,BaseMonths,0)))*Data!$E$2:$E$666)</f>
        <v>51475.56</v>
      </c>
      <c r="E224" s="12">
        <f>SUMPRODUCT((Data!$A$2:$A$666=$A224)*(Data!$B$2:$B$666=$B224)*(Data!$C$2:$C$666=$C224)*(ISNUMBER(MATCH(Data!$D$2:$D$666,CurrentMonths,0)))*Data!$E$2:$E$666)</f>
        <v>41037.8</v>
      </c>
      <c r="F224" s="12">
        <f>E224-D224</f>
        <v>-10437.76</v>
      </c>
      <c r="G224" s="13">
        <f>IF(D224=0,"",F224/ABS(D224))</f>
        <v>-0.2027711791770697</v>
      </c>
      <c r="H224" s="10" t="str">
        <f>IF(ABS(F224)&gt;=Threshold,"Yes","No")</f>
        <v>No</v>
      </c>
      <c r="I224" s="10" t="s">
        <v>18</v>
      </c>
    </row>
    <row r="225" spans="1:9">
      <c r="A225" s="10" t="s">
        <v>322</v>
      </c>
      <c r="B225" s="10" t="s">
        <v>55</v>
      </c>
      <c r="C225" s="10" t="s">
        <v>367</v>
      </c>
      <c r="D225" s="12">
        <f>SUMPRODUCT((Data!$A$2:$A$666=$A225)*(Data!$B$2:$B$666=$B225)*(Data!$C$2:$C$666=$C225)*(ISNUMBER(MATCH(Data!$D$2:$D$666,BaseMonths,0)))*Data!$E$2:$E$666)</f>
        <v>12785.23</v>
      </c>
      <c r="E225" s="12">
        <f>SUMPRODUCT((Data!$A$2:$A$666=$A225)*(Data!$B$2:$B$666=$B225)*(Data!$C$2:$C$666=$C225)*(ISNUMBER(MATCH(Data!$D$2:$D$666,CurrentMonths,0)))*Data!$E$2:$E$666)</f>
        <v>2353.28</v>
      </c>
      <c r="F225" s="12">
        <f>E225-D225</f>
        <v>-10431.95</v>
      </c>
      <c r="G225" s="13">
        <f>IF(D225=0,"",F225/ABS(D225))</f>
        <v>-0.8159376092569317</v>
      </c>
      <c r="H225" s="10" t="str">
        <f>IF(ABS(F225)&gt;=Threshold,"Yes","No")</f>
        <v>No</v>
      </c>
      <c r="I225" s="10" t="s">
        <v>18</v>
      </c>
    </row>
    <row r="226" spans="1:9">
      <c r="A226" s="10" t="s">
        <v>322</v>
      </c>
      <c r="B226" s="10" t="s">
        <v>55</v>
      </c>
      <c r="C226" s="10" t="s">
        <v>404</v>
      </c>
      <c r="D226" s="12">
        <f>SUMPRODUCT((Data!$A$2:$A$666=$A226)*(Data!$B$2:$B$666=$B226)*(Data!$C$2:$C$666=$C226)*(ISNUMBER(MATCH(Data!$D$2:$D$666,BaseMonths,0)))*Data!$E$2:$E$666)</f>
        <v>6329.2</v>
      </c>
      <c r="E226" s="12">
        <f>SUMPRODUCT((Data!$A$2:$A$666=$A226)*(Data!$B$2:$B$666=$B226)*(Data!$C$2:$C$666=$C226)*(ISNUMBER(MATCH(Data!$D$2:$D$666,CurrentMonths,0)))*Data!$E$2:$E$666)</f>
        <v>16726.61</v>
      </c>
      <c r="F226" s="12">
        <f>E226-D226</f>
        <v>10397.41</v>
      </c>
      <c r="G226" s="13">
        <f>IF(D226=0,"",F226/ABS(D226))</f>
        <v>1.6427684383492385</v>
      </c>
      <c r="H226" s="10" t="str">
        <f>IF(ABS(F226)&gt;=Threshold,"Yes","No")</f>
        <v>No</v>
      </c>
      <c r="I226" s="10" t="s">
        <v>18</v>
      </c>
    </row>
    <row r="227" spans="1:9">
      <c r="A227" s="10" t="s">
        <v>123</v>
      </c>
      <c r="B227" s="10" t="s">
        <v>67</v>
      </c>
      <c r="C227" s="10" t="s">
        <v>127</v>
      </c>
      <c r="D227" s="12">
        <f>SUMPRODUCT((Data!$A$2:$A$666=$A227)*(Data!$B$2:$B$666=$B227)*(Data!$C$2:$C$666=$C227)*(ISNUMBER(MATCH(Data!$D$2:$D$666,BaseMonths,0)))*Data!$E$2:$E$666)</f>
        <v>11681.55</v>
      </c>
      <c r="E227" s="12">
        <f>SUMPRODUCT((Data!$A$2:$A$666=$A227)*(Data!$B$2:$B$666=$B227)*(Data!$C$2:$C$666=$C227)*(ISNUMBER(MATCH(Data!$D$2:$D$666,CurrentMonths,0)))*Data!$E$2:$E$666)</f>
        <v>21899.17</v>
      </c>
      <c r="F227" s="12">
        <f>E227-D227</f>
        <v>10217.62</v>
      </c>
      <c r="G227" s="13">
        <f>IF(D227=0,"",F227/ABS(D227))</f>
        <v>0.8746801580269743</v>
      </c>
      <c r="H227" s="10" t="str">
        <f>IF(ABS(F227)&gt;=Threshold,"Yes","No")</f>
        <v>No</v>
      </c>
      <c r="I227" s="10" t="s">
        <v>18</v>
      </c>
    </row>
    <row r="228" spans="1:9">
      <c r="A228" s="10" t="s">
        <v>161</v>
      </c>
      <c r="B228" s="10" t="s">
        <v>67</v>
      </c>
      <c r="C228" s="10" t="s">
        <v>163</v>
      </c>
      <c r="D228" s="12">
        <f>SUMPRODUCT((Data!$A$2:$A$666=$A228)*(Data!$B$2:$B$666=$B228)*(Data!$C$2:$C$666=$C228)*(ISNUMBER(MATCH(Data!$D$2:$D$666,BaseMonths,0)))*Data!$E$2:$E$666)</f>
        <v>31603.1</v>
      </c>
      <c r="E228" s="12">
        <f>SUMPRODUCT((Data!$A$2:$A$666=$A228)*(Data!$B$2:$B$666=$B228)*(Data!$C$2:$C$666=$C228)*(ISNUMBER(MATCH(Data!$D$2:$D$666,CurrentMonths,0)))*Data!$E$2:$E$666)</f>
        <v>41730.02</v>
      </c>
      <c r="F228" s="12">
        <f>E228-D228</f>
        <v>10126.92</v>
      </c>
      <c r="G228" s="13">
        <f>IF(D228=0,"",F228/ABS(D228))</f>
        <v>0.32044071625884807</v>
      </c>
      <c r="H228" s="10" t="str">
        <f>IF(ABS(F228)&gt;=Threshold,"Yes","No")</f>
        <v>No</v>
      </c>
      <c r="I228" s="10" t="s">
        <v>18</v>
      </c>
    </row>
    <row r="229" spans="1:9">
      <c r="A229" s="10" t="s">
        <v>305</v>
      </c>
      <c r="B229" s="10" t="s">
        <v>67</v>
      </c>
      <c r="C229" s="10" t="s">
        <v>318</v>
      </c>
      <c r="D229" s="12">
        <f>SUMPRODUCT((Data!$A$2:$A$666=$A229)*(Data!$B$2:$B$666=$B229)*(Data!$C$2:$C$666=$C229)*(ISNUMBER(MATCH(Data!$D$2:$D$666,BaseMonths,0)))*Data!$E$2:$E$666)</f>
        <v>40203.38</v>
      </c>
      <c r="E229" s="12">
        <f>SUMPRODUCT((Data!$A$2:$A$666=$A229)*(Data!$B$2:$B$666=$B229)*(Data!$C$2:$C$666=$C229)*(ISNUMBER(MATCH(Data!$D$2:$D$666,CurrentMonths,0)))*Data!$E$2:$E$666)</f>
        <v>30104.98</v>
      </c>
      <c r="F229" s="12">
        <f>E229-D229</f>
        <v>-10098.4</v>
      </c>
      <c r="G229" s="13">
        <f>IF(D229=0,"",F229/ABS(D229))</f>
        <v>-0.2511828607445444</v>
      </c>
      <c r="H229" s="10" t="str">
        <f>IF(ABS(F229)&gt;=Threshold,"Yes","No")</f>
        <v>No</v>
      </c>
      <c r="I229" s="10" t="s">
        <v>18</v>
      </c>
    </row>
    <row r="230" spans="1:9">
      <c r="A230" s="10" t="s">
        <v>322</v>
      </c>
      <c r="B230" s="10" t="s">
        <v>55</v>
      </c>
      <c r="C230" s="10" t="s">
        <v>401</v>
      </c>
      <c r="D230" s="12">
        <f>SUMPRODUCT((Data!$A$2:$A$666=$A230)*(Data!$B$2:$B$666=$B230)*(Data!$C$2:$C$666=$C230)*(ISNUMBER(MATCH(Data!$D$2:$D$666,BaseMonths,0)))*Data!$E$2:$E$666)</f>
        <v>15735.0</v>
      </c>
      <c r="E230" s="12">
        <f>SUMPRODUCT((Data!$A$2:$A$666=$A230)*(Data!$B$2:$B$666=$B230)*(Data!$C$2:$C$666=$C230)*(ISNUMBER(MATCH(Data!$D$2:$D$666,CurrentMonths,0)))*Data!$E$2:$E$666)</f>
        <v>6372.74</v>
      </c>
      <c r="F230" s="12">
        <f>E230-D230</f>
        <v>-9362.26</v>
      </c>
      <c r="G230" s="13">
        <f>IF(D230=0,"",F230/ABS(D230))</f>
        <v>-0.5949958690816651</v>
      </c>
      <c r="H230" s="10" t="str">
        <f>IF(ABS(F230)&gt;=Threshold,"Yes","No")</f>
        <v>No</v>
      </c>
      <c r="I230" s="10" t="s">
        <v>18</v>
      </c>
    </row>
    <row r="231" spans="1:9">
      <c r="A231" s="10" t="s">
        <v>176</v>
      </c>
      <c r="B231" s="10" t="s">
        <v>67</v>
      </c>
      <c r="C231" s="10" t="s">
        <v>177</v>
      </c>
      <c r="D231" s="12">
        <f>SUMPRODUCT((Data!$A$2:$A$666=$A231)*(Data!$B$2:$B$666=$B231)*(Data!$C$2:$C$666=$C231)*(ISNUMBER(MATCH(Data!$D$2:$D$666,BaseMonths,0)))*Data!$E$2:$E$666)</f>
        <v>6877.34</v>
      </c>
      <c r="E231" s="12">
        <f>SUMPRODUCT((Data!$A$2:$A$666=$A231)*(Data!$B$2:$B$666=$B231)*(Data!$C$2:$C$666=$C231)*(ISNUMBER(MATCH(Data!$D$2:$D$666,CurrentMonths,0)))*Data!$E$2:$E$666)</f>
        <v>-2279.27</v>
      </c>
      <c r="F231" s="12">
        <f>E231-D231</f>
        <v>-9156.61</v>
      </c>
      <c r="G231" s="13">
        <f>IF(D231=0,"",F231/ABS(D231))</f>
        <v>-1.3314173793937774</v>
      </c>
      <c r="H231" s="10" t="str">
        <f>IF(ABS(F231)&gt;=Threshold,"Yes","No")</f>
        <v>No</v>
      </c>
      <c r="I231" s="10" t="s">
        <v>18</v>
      </c>
    </row>
    <row r="232" spans="1:9">
      <c r="A232" s="10" t="s">
        <v>322</v>
      </c>
      <c r="B232" s="10" t="s">
        <v>55</v>
      </c>
      <c r="C232" s="10" t="s">
        <v>392</v>
      </c>
      <c r="D232" s="12">
        <f>SUMPRODUCT((Data!$A$2:$A$666=$A232)*(Data!$B$2:$B$666=$B232)*(Data!$C$2:$C$666=$C232)*(ISNUMBER(MATCH(Data!$D$2:$D$666,BaseMonths,0)))*Data!$E$2:$E$666)</f>
        <v>11038.4</v>
      </c>
      <c r="E232" s="12">
        <f>SUMPRODUCT((Data!$A$2:$A$666=$A232)*(Data!$B$2:$B$666=$B232)*(Data!$C$2:$C$666=$C232)*(ISNUMBER(MATCH(Data!$D$2:$D$666,CurrentMonths,0)))*Data!$E$2:$E$666)</f>
        <v>2000.38</v>
      </c>
      <c r="F232" s="12">
        <f>E232-D232</f>
        <v>-9038.02</v>
      </c>
      <c r="G232" s="13">
        <f>IF(D232=0,"",F232/ABS(D232))</f>
        <v>-0.8187798956370489</v>
      </c>
      <c r="H232" s="10" t="str">
        <f>IF(ABS(F232)&gt;=Threshold,"Yes","No")</f>
        <v>No</v>
      </c>
      <c r="I232" s="10" t="s">
        <v>18</v>
      </c>
    </row>
    <row r="233" spans="1:9">
      <c r="A233" s="10" t="s">
        <v>322</v>
      </c>
      <c r="B233" s="10" t="s">
        <v>55</v>
      </c>
      <c r="C233" s="10" t="s">
        <v>365</v>
      </c>
      <c r="D233" s="12">
        <f>SUMPRODUCT((Data!$A$2:$A$666=$A233)*(Data!$B$2:$B$666=$B233)*(Data!$C$2:$C$666=$C233)*(ISNUMBER(MATCH(Data!$D$2:$D$666,BaseMonths,0)))*Data!$E$2:$E$666)</f>
        <v>-6582.42</v>
      </c>
      <c r="E233" s="12">
        <f>SUMPRODUCT((Data!$A$2:$A$666=$A233)*(Data!$B$2:$B$666=$B233)*(Data!$C$2:$C$666=$C233)*(ISNUMBER(MATCH(Data!$D$2:$D$666,CurrentMonths,0)))*Data!$E$2:$E$666)</f>
        <v>1972.23</v>
      </c>
      <c r="F233" s="12">
        <f>E233-D233</f>
        <v>8554.65</v>
      </c>
      <c r="G233" s="13">
        <f>IF(D233=0,"",F233/ABS(D233))</f>
        <v>1.2996208081526246</v>
      </c>
      <c r="H233" s="10" t="str">
        <f>IF(ABS(F233)&gt;=Threshold,"Yes","No")</f>
        <v>No</v>
      </c>
      <c r="I233" s="10" t="s">
        <v>18</v>
      </c>
    </row>
    <row r="234" spans="1:9">
      <c r="A234" s="10" t="s">
        <v>94</v>
      </c>
      <c r="B234" s="10" t="s">
        <v>34</v>
      </c>
      <c r="C234" s="10" t="s">
        <v>99</v>
      </c>
      <c r="D234" s="12">
        <f>SUMPRODUCT((Data!$A$2:$A$666=$A234)*(Data!$B$2:$B$666=$B234)*(Data!$C$2:$C$666=$C234)*(ISNUMBER(MATCH(Data!$D$2:$D$666,BaseMonths,0)))*Data!$E$2:$E$666)</f>
        <v>9015.74</v>
      </c>
      <c r="E234" s="12">
        <f>SUMPRODUCT((Data!$A$2:$A$666=$A234)*(Data!$B$2:$B$666=$B234)*(Data!$C$2:$C$666=$C234)*(ISNUMBER(MATCH(Data!$D$2:$D$666,CurrentMonths,0)))*Data!$E$2:$E$666)</f>
        <v>736.62</v>
      </c>
      <c r="F234" s="12">
        <f>E234-D234</f>
        <v>-8279.12</v>
      </c>
      <c r="G234" s="13">
        <f>IF(D234=0,"",F234/ABS(D234))</f>
        <v>-0.9182962241590819</v>
      </c>
      <c r="H234" s="10" t="str">
        <f>IF(ABS(F234)&gt;=Threshold,"Yes","No")</f>
        <v>No</v>
      </c>
      <c r="I234" s="10" t="s">
        <v>18</v>
      </c>
    </row>
    <row r="235" spans="1:9">
      <c r="A235" s="10" t="s">
        <v>208</v>
      </c>
      <c r="B235" s="10" t="s">
        <v>55</v>
      </c>
      <c r="C235" s="10" t="s">
        <v>212</v>
      </c>
      <c r="D235" s="12">
        <f>SUMPRODUCT((Data!$A$2:$A$666=$A235)*(Data!$B$2:$B$666=$B235)*(Data!$C$2:$C$666=$C235)*(ISNUMBER(MATCH(Data!$D$2:$D$666,BaseMonths,0)))*Data!$E$2:$E$666)</f>
        <v>108910.4</v>
      </c>
      <c r="E235" s="12">
        <f>SUMPRODUCT((Data!$A$2:$A$666=$A235)*(Data!$B$2:$B$666=$B235)*(Data!$C$2:$C$666=$C235)*(ISNUMBER(MATCH(Data!$D$2:$D$666,CurrentMonths,0)))*Data!$E$2:$E$666)</f>
        <v>100716.86</v>
      </c>
      <c r="F235" s="12">
        <f>E235-D235</f>
        <v>-8193.54</v>
      </c>
      <c r="G235" s="13">
        <f>IF(D235=0,"",F235/ABS(D235))</f>
        <v>-0.07523193377308321</v>
      </c>
      <c r="H235" s="10" t="str">
        <f>IF(ABS(F235)&gt;=Threshold,"Yes","No")</f>
        <v>No</v>
      </c>
      <c r="I235" s="10" t="s">
        <v>18</v>
      </c>
    </row>
    <row r="236" spans="1:9">
      <c r="A236" s="10" t="s">
        <v>33</v>
      </c>
      <c r="B236" s="10" t="s">
        <v>34</v>
      </c>
      <c r="C236" s="10" t="s">
        <v>53</v>
      </c>
      <c r="D236" s="12">
        <f>SUMPRODUCT((Data!$A$2:$A$666=$A236)*(Data!$B$2:$B$666=$B236)*(Data!$C$2:$C$666=$C236)*(ISNUMBER(MATCH(Data!$D$2:$D$666,BaseMonths,0)))*Data!$E$2:$E$666)</f>
        <v>5158.53</v>
      </c>
      <c r="E236" s="12">
        <f>SUMPRODUCT((Data!$A$2:$A$666=$A236)*(Data!$B$2:$B$666=$B236)*(Data!$C$2:$C$666=$C236)*(ISNUMBER(MATCH(Data!$D$2:$D$666,CurrentMonths,0)))*Data!$E$2:$E$666)</f>
        <v>13285.11</v>
      </c>
      <c r="F236" s="12">
        <f>E236-D236</f>
        <v>8126.58</v>
      </c>
      <c r="G236" s="13">
        <f>IF(D236=0,"",F236/ABS(D236))</f>
        <v>1.5753674011782428</v>
      </c>
      <c r="H236" s="10" t="str">
        <f>IF(ABS(F236)&gt;=Threshold,"Yes","No")</f>
        <v>No</v>
      </c>
      <c r="I236" s="10" t="s">
        <v>18</v>
      </c>
    </row>
    <row r="237" spans="1:9">
      <c r="A237" s="10" t="s">
        <v>54</v>
      </c>
      <c r="B237" s="10" t="s">
        <v>55</v>
      </c>
      <c r="C237" s="10" t="s">
        <v>61</v>
      </c>
      <c r="D237" s="12">
        <f>SUMPRODUCT((Data!$A$2:$A$666=$A237)*(Data!$B$2:$B$666=$B237)*(Data!$C$2:$C$666=$C237)*(ISNUMBER(MATCH(Data!$D$2:$D$666,BaseMonths,0)))*Data!$E$2:$E$666)</f>
        <v>146305.71</v>
      </c>
      <c r="E237" s="12">
        <f>SUMPRODUCT((Data!$A$2:$A$666=$A237)*(Data!$B$2:$B$666=$B237)*(Data!$C$2:$C$666=$C237)*(ISNUMBER(MATCH(Data!$D$2:$D$666,CurrentMonths,0)))*Data!$E$2:$E$666)</f>
        <v>138522.68</v>
      </c>
      <c r="F237" s="12">
        <f>E237-D237</f>
        <v>-7783.03</v>
      </c>
      <c r="G237" s="13">
        <f>IF(D237=0,"",F237/ABS(D237))</f>
        <v>-0.053197035166980156</v>
      </c>
      <c r="H237" s="10" t="str">
        <f>IF(ABS(F237)&gt;=Threshold,"Yes","No")</f>
        <v>No</v>
      </c>
      <c r="I237" s="10" t="s">
        <v>18</v>
      </c>
    </row>
    <row r="238" spans="1:9">
      <c r="A238" s="10" t="s">
        <v>54</v>
      </c>
      <c r="B238" s="10" t="s">
        <v>55</v>
      </c>
      <c r="C238" s="10" t="s">
        <v>62</v>
      </c>
      <c r="D238" s="12">
        <f>SUMPRODUCT((Data!$A$2:$A$666=$A238)*(Data!$B$2:$B$666=$B238)*(Data!$C$2:$C$666=$C238)*(ISNUMBER(MATCH(Data!$D$2:$D$666,BaseMonths,0)))*Data!$E$2:$E$666)</f>
        <v>43073.73</v>
      </c>
      <c r="E238" s="12">
        <f>SUMPRODUCT((Data!$A$2:$A$666=$A238)*(Data!$B$2:$B$666=$B238)*(Data!$C$2:$C$666=$C238)*(ISNUMBER(MATCH(Data!$D$2:$D$666,CurrentMonths,0)))*Data!$E$2:$E$666)</f>
        <v>50794.49</v>
      </c>
      <c r="F238" s="12">
        <f>E238-D238</f>
        <v>7720.76</v>
      </c>
      <c r="G238" s="13">
        <f>IF(D238=0,"",F238/ABS(D238))</f>
        <v>0.17924521512299957</v>
      </c>
      <c r="H238" s="10" t="str">
        <f>IF(ABS(F238)&gt;=Threshold,"Yes","No")</f>
        <v>No</v>
      </c>
      <c r="I238" s="10" t="s">
        <v>18</v>
      </c>
    </row>
    <row r="239" spans="1:9">
      <c r="A239" s="10" t="s">
        <v>169</v>
      </c>
      <c r="B239" s="10" t="s">
        <v>67</v>
      </c>
      <c r="C239" s="10" t="s">
        <v>170</v>
      </c>
      <c r="D239" s="12">
        <f>SUMPRODUCT((Data!$A$2:$A$666=$A239)*(Data!$B$2:$B$666=$B239)*(Data!$C$2:$C$666=$C239)*(ISNUMBER(MATCH(Data!$D$2:$D$666,BaseMonths,0)))*Data!$E$2:$E$666)</f>
        <v>18571.33</v>
      </c>
      <c r="E239" s="12">
        <f>SUMPRODUCT((Data!$A$2:$A$666=$A239)*(Data!$B$2:$B$666=$B239)*(Data!$C$2:$C$666=$C239)*(ISNUMBER(MATCH(Data!$D$2:$D$666,CurrentMonths,0)))*Data!$E$2:$E$666)</f>
        <v>26289.23</v>
      </c>
      <c r="F239" s="12">
        <f>E239-D239</f>
        <v>7717.9</v>
      </c>
      <c r="G239" s="13">
        <f>IF(D239=0,"",F239/ABS(D239))</f>
        <v>0.4155814365476247</v>
      </c>
      <c r="H239" s="10" t="str">
        <f>IF(ABS(F239)&gt;=Threshold,"Yes","No")</f>
        <v>No</v>
      </c>
      <c r="I239" s="10" t="s">
        <v>18</v>
      </c>
    </row>
    <row r="240" spans="1:9">
      <c r="A240" s="10" t="s">
        <v>88</v>
      </c>
      <c r="B240" s="10" t="s">
        <v>55</v>
      </c>
      <c r="C240" s="10" t="s">
        <v>93</v>
      </c>
      <c r="D240" s="12">
        <f>SUMPRODUCT((Data!$A$2:$A$666=$A240)*(Data!$B$2:$B$666=$B240)*(Data!$C$2:$C$666=$C240)*(ISNUMBER(MATCH(Data!$D$2:$D$666,BaseMonths,0)))*Data!$E$2:$E$666)</f>
        <v>23859.26</v>
      </c>
      <c r="E240" s="12">
        <f>SUMPRODUCT((Data!$A$2:$A$666=$A240)*(Data!$B$2:$B$666=$B240)*(Data!$C$2:$C$666=$C240)*(ISNUMBER(MATCH(Data!$D$2:$D$666,CurrentMonths,0)))*Data!$E$2:$E$666)</f>
        <v>16232.68</v>
      </c>
      <c r="F240" s="12">
        <f>E240-D240</f>
        <v>-7626.58</v>
      </c>
      <c r="G240" s="13">
        <f>IF(D240=0,"",F240/ABS(D240))</f>
        <v>-0.3196486395638423</v>
      </c>
      <c r="H240" s="10" t="str">
        <f>IF(ABS(F240)&gt;=Threshold,"Yes","No")</f>
        <v>No</v>
      </c>
      <c r="I240" s="10" t="s">
        <v>18</v>
      </c>
    </row>
    <row r="241" spans="1:9">
      <c r="A241" s="10" t="s">
        <v>181</v>
      </c>
      <c r="B241" s="10" t="s">
        <v>34</v>
      </c>
      <c r="C241" s="10" t="s">
        <v>192</v>
      </c>
      <c r="D241" s="12">
        <f>SUMPRODUCT((Data!$A$2:$A$666=$A241)*(Data!$B$2:$B$666=$B241)*(Data!$C$2:$C$666=$C241)*(ISNUMBER(MATCH(Data!$D$2:$D$666,BaseMonths,0)))*Data!$E$2:$E$666)</f>
        <v>61358.61</v>
      </c>
      <c r="E241" s="12">
        <f>SUMPRODUCT((Data!$A$2:$A$666=$A241)*(Data!$B$2:$B$666=$B241)*(Data!$C$2:$C$666=$C241)*(ISNUMBER(MATCH(Data!$D$2:$D$666,CurrentMonths,0)))*Data!$E$2:$E$666)</f>
        <v>54351.25</v>
      </c>
      <c r="F241" s="12">
        <f>E241-D241</f>
        <v>-7007.36</v>
      </c>
      <c r="G241" s="13">
        <f>IF(D241=0,"",F241/ABS(D241))</f>
        <v>-0.11420336933969005</v>
      </c>
      <c r="H241" s="10" t="str">
        <f>IF(ABS(F241)&gt;=Threshold,"Yes","No")</f>
        <v>No</v>
      </c>
      <c r="I241" s="10" t="s">
        <v>18</v>
      </c>
    </row>
    <row r="242" spans="1:9">
      <c r="A242" s="10" t="s">
        <v>322</v>
      </c>
      <c r="B242" s="10" t="s">
        <v>55</v>
      </c>
      <c r="C242" s="10" t="s">
        <v>334</v>
      </c>
      <c r="D242" s="12">
        <f>SUMPRODUCT((Data!$A$2:$A$666=$A242)*(Data!$B$2:$B$666=$B242)*(Data!$C$2:$C$666=$C242)*(ISNUMBER(MATCH(Data!$D$2:$D$666,BaseMonths,0)))*Data!$E$2:$E$666)</f>
        <v>0.0</v>
      </c>
      <c r="E242" s="12">
        <f>SUMPRODUCT((Data!$A$2:$A$666=$A242)*(Data!$B$2:$B$666=$B242)*(Data!$C$2:$C$666=$C242)*(ISNUMBER(MATCH(Data!$D$2:$D$666,CurrentMonths,0)))*Data!$E$2:$E$666)</f>
        <v>6616.0</v>
      </c>
      <c r="F242" s="12">
        <f>E242-D242</f>
        <v>6616.0</v>
      </c>
      <c r="G242" s="13">
        <f>IF(D242=0,"",F242/ABS(D242))</f>
        <v/>
      </c>
      <c r="H242" s="10" t="str">
        <f>IF(ABS(F242)&gt;=Threshold,"Yes","No")</f>
        <v>No</v>
      </c>
      <c r="I242" s="10" t="s">
        <v>18</v>
      </c>
    </row>
    <row r="243" spans="1:9">
      <c r="A243" s="10" t="s">
        <v>70</v>
      </c>
      <c r="B243" s="10" t="s">
        <v>55</v>
      </c>
      <c r="C243" s="10" t="s">
        <v>86</v>
      </c>
      <c r="D243" s="12">
        <f>SUMPRODUCT((Data!$A$2:$A$666=$A243)*(Data!$B$2:$B$666=$B243)*(Data!$C$2:$C$666=$C243)*(ISNUMBER(MATCH(Data!$D$2:$D$666,BaseMonths,0)))*Data!$E$2:$E$666)</f>
        <v>15552.91</v>
      </c>
      <c r="E243" s="12">
        <f>SUMPRODUCT((Data!$A$2:$A$666=$A243)*(Data!$B$2:$B$666=$B243)*(Data!$C$2:$C$666=$C243)*(ISNUMBER(MATCH(Data!$D$2:$D$666,CurrentMonths,0)))*Data!$E$2:$E$666)</f>
        <v>9044.01</v>
      </c>
      <c r="F243" s="12">
        <f>E243-D243</f>
        <v>-6508.9</v>
      </c>
      <c r="G243" s="13">
        <f>IF(D243=0,"",F243/ABS(D243))</f>
        <v>-0.4185004606854923</v>
      </c>
      <c r="H243" s="10" t="str">
        <f>IF(ABS(F243)&gt;=Threshold,"Yes","No")</f>
        <v>No</v>
      </c>
      <c r="I243" s="10" t="s">
        <v>18</v>
      </c>
    </row>
    <row r="244" spans="1:9">
      <c r="A244" s="10" t="s">
        <v>104</v>
      </c>
      <c r="B244" s="10" t="s">
        <v>67</v>
      </c>
      <c r="C244" s="10" t="s">
        <v>108</v>
      </c>
      <c r="D244" s="12">
        <f>SUMPRODUCT((Data!$A$2:$A$666=$A244)*(Data!$B$2:$B$666=$B244)*(Data!$C$2:$C$666=$C244)*(ISNUMBER(MATCH(Data!$D$2:$D$666,BaseMonths,0)))*Data!$E$2:$E$666)</f>
        <v>17403.26</v>
      </c>
      <c r="E244" s="12">
        <f>SUMPRODUCT((Data!$A$2:$A$666=$A244)*(Data!$B$2:$B$666=$B244)*(Data!$C$2:$C$666=$C244)*(ISNUMBER(MATCH(Data!$D$2:$D$666,CurrentMonths,0)))*Data!$E$2:$E$666)</f>
        <v>10955.98</v>
      </c>
      <c r="F244" s="12">
        <f>E244-D244</f>
        <v>-6447.28</v>
      </c>
      <c r="G244" s="13">
        <f>IF(D244=0,"",F244/ABS(D244))</f>
        <v>-0.3704639245750509</v>
      </c>
      <c r="H244" s="10" t="str">
        <f>IF(ABS(F244)&gt;=Threshold,"Yes","No")</f>
        <v>No</v>
      </c>
      <c r="I244" s="10" t="s">
        <v>18</v>
      </c>
    </row>
    <row r="245" spans="1:9">
      <c r="A245" s="10" t="s">
        <v>181</v>
      </c>
      <c r="B245" s="10" t="s">
        <v>34</v>
      </c>
      <c r="C245" s="10" t="s">
        <v>189</v>
      </c>
      <c r="D245" s="12">
        <f>SUMPRODUCT((Data!$A$2:$A$666=$A245)*(Data!$B$2:$B$666=$B245)*(Data!$C$2:$C$666=$C245)*(ISNUMBER(MATCH(Data!$D$2:$D$666,BaseMonths,0)))*Data!$E$2:$E$666)</f>
        <v>133805.73</v>
      </c>
      <c r="E245" s="12">
        <f>SUMPRODUCT((Data!$A$2:$A$666=$A245)*(Data!$B$2:$B$666=$B245)*(Data!$C$2:$C$666=$C245)*(ISNUMBER(MATCH(Data!$D$2:$D$666,CurrentMonths,0)))*Data!$E$2:$E$666)</f>
        <v>127664.07</v>
      </c>
      <c r="F245" s="12">
        <f>E245-D245</f>
        <v>-6141.66</v>
      </c>
      <c r="G245" s="13">
        <f>IF(D245=0,"",F245/ABS(D245))</f>
        <v>-0.04589982805669084</v>
      </c>
      <c r="H245" s="10" t="str">
        <f>IF(ABS(F245)&gt;=Threshold,"Yes","No")</f>
        <v>No</v>
      </c>
      <c r="I245" s="10" t="s">
        <v>18</v>
      </c>
    </row>
    <row r="246" spans="1:9">
      <c r="A246" s="10" t="s">
        <v>322</v>
      </c>
      <c r="B246" s="10" t="s">
        <v>55</v>
      </c>
      <c r="C246" s="10" t="s">
        <v>342</v>
      </c>
      <c r="D246" s="12">
        <f>SUMPRODUCT((Data!$A$2:$A$666=$A246)*(Data!$B$2:$B$666=$B246)*(Data!$C$2:$C$666=$C246)*(ISNUMBER(MATCH(Data!$D$2:$D$666,BaseMonths,0)))*Data!$E$2:$E$666)</f>
        <v>28734.17</v>
      </c>
      <c r="E246" s="12">
        <f>SUMPRODUCT((Data!$A$2:$A$666=$A246)*(Data!$B$2:$B$666=$B246)*(Data!$C$2:$C$666=$C246)*(ISNUMBER(MATCH(Data!$D$2:$D$666,CurrentMonths,0)))*Data!$E$2:$E$666)</f>
        <v>34767.44</v>
      </c>
      <c r="F246" s="12">
        <f>E246-D246</f>
        <v>6033.27</v>
      </c>
      <c r="G246" s="13">
        <f>IF(D246=0,"",F246/ABS(D246))</f>
        <v>0.2099684800361382</v>
      </c>
      <c r="H246" s="10" t="str">
        <f>IF(ABS(F246)&gt;=Threshold,"Yes","No")</f>
        <v>No</v>
      </c>
      <c r="I246" s="10" t="s">
        <v>18</v>
      </c>
    </row>
    <row r="247" spans="1:9">
      <c r="A247" s="10" t="s">
        <v>322</v>
      </c>
      <c r="B247" s="10" t="s">
        <v>55</v>
      </c>
      <c r="C247" s="10" t="s">
        <v>359</v>
      </c>
      <c r="D247" s="12">
        <f>SUMPRODUCT((Data!$A$2:$A$666=$A247)*(Data!$B$2:$B$666=$B247)*(Data!$C$2:$C$666=$C247)*(ISNUMBER(MATCH(Data!$D$2:$D$666,BaseMonths,0)))*Data!$E$2:$E$666)</f>
        <v>34580.57</v>
      </c>
      <c r="E247" s="12">
        <f>SUMPRODUCT((Data!$A$2:$A$666=$A247)*(Data!$B$2:$B$666=$B247)*(Data!$C$2:$C$666=$C247)*(ISNUMBER(MATCH(Data!$D$2:$D$666,CurrentMonths,0)))*Data!$E$2:$E$666)</f>
        <v>29159.93</v>
      </c>
      <c r="F247" s="12">
        <f>E247-D247</f>
        <v>-5420.64</v>
      </c>
      <c r="G247" s="13">
        <f>IF(D247=0,"",F247/ABS(D247))</f>
        <v>-0.15675392279537326</v>
      </c>
      <c r="H247" s="10" t="str">
        <f>IF(ABS(F247)&gt;=Threshold,"Yes","No")</f>
        <v>No</v>
      </c>
      <c r="I247" s="10" t="s">
        <v>18</v>
      </c>
    </row>
    <row r="248" spans="1:9">
      <c r="A248" s="10" t="s">
        <v>229</v>
      </c>
      <c r="B248" s="10" t="s">
        <v>67</v>
      </c>
      <c r="C248" s="10" t="s">
        <v>247</v>
      </c>
      <c r="D248" s="12">
        <f>SUMPRODUCT((Data!$A$2:$A$666=$A248)*(Data!$B$2:$B$666=$B248)*(Data!$C$2:$C$666=$C248)*(ISNUMBER(MATCH(Data!$D$2:$D$666,BaseMonths,0)))*Data!$E$2:$E$666)</f>
        <v>21058.56</v>
      </c>
      <c r="E248" s="12">
        <f>SUMPRODUCT((Data!$A$2:$A$666=$A248)*(Data!$B$2:$B$666=$B248)*(Data!$C$2:$C$666=$C248)*(ISNUMBER(MATCH(Data!$D$2:$D$666,CurrentMonths,0)))*Data!$E$2:$E$666)</f>
        <v>26404.78</v>
      </c>
      <c r="F248" s="12">
        <f>E248-D248</f>
        <v>5346.22</v>
      </c>
      <c r="G248" s="13">
        <f>IF(D248=0,"",F248/ABS(D248))</f>
        <v>0.2538739590931194</v>
      </c>
      <c r="H248" s="10" t="str">
        <f>IF(ABS(F248)&gt;=Threshold,"Yes","No")</f>
        <v>No</v>
      </c>
      <c r="I248" s="10" t="s">
        <v>18</v>
      </c>
    </row>
    <row r="249" spans="1:9">
      <c r="A249" s="10" t="s">
        <v>202</v>
      </c>
      <c r="B249" s="10" t="s">
        <v>34</v>
      </c>
      <c r="C249" s="10" t="s">
        <v>204</v>
      </c>
      <c r="D249" s="12">
        <f>SUMPRODUCT((Data!$A$2:$A$666=$A249)*(Data!$B$2:$B$666=$B249)*(Data!$C$2:$C$666=$C249)*(ISNUMBER(MATCH(Data!$D$2:$D$666,BaseMonths,0)))*Data!$E$2:$E$666)</f>
        <v>6315.62</v>
      </c>
      <c r="E249" s="12">
        <f>SUMPRODUCT((Data!$A$2:$A$666=$A249)*(Data!$B$2:$B$666=$B249)*(Data!$C$2:$C$666=$C249)*(ISNUMBER(MATCH(Data!$D$2:$D$666,CurrentMonths,0)))*Data!$E$2:$E$666)</f>
        <v>980.81</v>
      </c>
      <c r="F249" s="12">
        <f>E249-D249</f>
        <v>-5334.81</v>
      </c>
      <c r="G249" s="13">
        <f>IF(D249=0,"",F249/ABS(D249))</f>
        <v>-0.8447009161412499</v>
      </c>
      <c r="H249" s="10" t="str">
        <f>IF(ABS(F249)&gt;=Threshold,"Yes","No")</f>
        <v>No</v>
      </c>
      <c r="I249" s="10" t="s">
        <v>18</v>
      </c>
    </row>
    <row r="250" spans="1:9">
      <c r="A250" s="10" t="s">
        <v>322</v>
      </c>
      <c r="B250" s="10" t="s">
        <v>55</v>
      </c>
      <c r="C250" s="10" t="s">
        <v>340</v>
      </c>
      <c r="D250" s="12">
        <f>SUMPRODUCT((Data!$A$2:$A$666=$A250)*(Data!$B$2:$B$666=$B250)*(Data!$C$2:$C$666=$C250)*(ISNUMBER(MATCH(Data!$D$2:$D$666,BaseMonths,0)))*Data!$E$2:$E$666)</f>
        <v>13152.89</v>
      </c>
      <c r="E250" s="12">
        <f>SUMPRODUCT((Data!$A$2:$A$666=$A250)*(Data!$B$2:$B$666=$B250)*(Data!$C$2:$C$666=$C250)*(ISNUMBER(MATCH(Data!$D$2:$D$666,CurrentMonths,0)))*Data!$E$2:$E$666)</f>
        <v>7957.53</v>
      </c>
      <c r="F250" s="12">
        <f>E250-D250</f>
        <v>-5195.36</v>
      </c>
      <c r="G250" s="13">
        <f>IF(D250=0,"",F250/ABS(D250))</f>
        <v>-0.39499760128762573</v>
      </c>
      <c r="H250" s="10" t="str">
        <f>IF(ABS(F250)&gt;=Threshold,"Yes","No")</f>
        <v>No</v>
      </c>
      <c r="I250" s="10" t="s">
        <v>18</v>
      </c>
    </row>
    <row r="251" spans="1:9">
      <c r="A251" s="10" t="s">
        <v>229</v>
      </c>
      <c r="B251" s="10" t="s">
        <v>67</v>
      </c>
      <c r="C251" s="10" t="s">
        <v>238</v>
      </c>
      <c r="D251" s="12">
        <f>SUMPRODUCT((Data!$A$2:$A$666=$A251)*(Data!$B$2:$B$666=$B251)*(Data!$C$2:$C$666=$C251)*(ISNUMBER(MATCH(Data!$D$2:$D$666,BaseMonths,0)))*Data!$E$2:$E$666)</f>
        <v>1003.56</v>
      </c>
      <c r="E251" s="12">
        <f>SUMPRODUCT((Data!$A$2:$A$666=$A251)*(Data!$B$2:$B$666=$B251)*(Data!$C$2:$C$666=$C251)*(ISNUMBER(MATCH(Data!$D$2:$D$666,CurrentMonths,0)))*Data!$E$2:$E$666)</f>
        <v>6187.22</v>
      </c>
      <c r="F251" s="12">
        <f>E251-D251</f>
        <v>5183.66</v>
      </c>
      <c r="G251" s="13">
        <f>IF(D251=0,"",F251/ABS(D251))</f>
        <v>5.165271632986568</v>
      </c>
      <c r="H251" s="10" t="str">
        <f>IF(ABS(F251)&gt;=Threshold,"Yes","No")</f>
        <v>No</v>
      </c>
      <c r="I251" s="10" t="s">
        <v>18</v>
      </c>
    </row>
    <row r="252" spans="1:9">
      <c r="A252" s="10" t="s">
        <v>322</v>
      </c>
      <c r="B252" s="10" t="s">
        <v>55</v>
      </c>
      <c r="C252" s="10" t="s">
        <v>375</v>
      </c>
      <c r="D252" s="12">
        <f>SUMPRODUCT((Data!$A$2:$A$666=$A252)*(Data!$B$2:$B$666=$B252)*(Data!$C$2:$C$666=$C252)*(ISNUMBER(MATCH(Data!$D$2:$D$666,BaseMonths,0)))*Data!$E$2:$E$666)</f>
        <v>68411.61</v>
      </c>
      <c r="E252" s="12">
        <f>SUMPRODUCT((Data!$A$2:$A$666=$A252)*(Data!$B$2:$B$666=$B252)*(Data!$C$2:$C$666=$C252)*(ISNUMBER(MATCH(Data!$D$2:$D$666,CurrentMonths,0)))*Data!$E$2:$E$666)</f>
        <v>63449.57</v>
      </c>
      <c r="F252" s="12">
        <f>E252-D252</f>
        <v>-4962.04</v>
      </c>
      <c r="G252" s="13">
        <f>IF(D252=0,"",F252/ABS(D252))</f>
        <v>-0.07253213306922611</v>
      </c>
      <c r="H252" s="10" t="str">
        <f>IF(ABS(F252)&gt;=Threshold,"Yes","No")</f>
        <v>No</v>
      </c>
      <c r="I252" s="10" t="s">
        <v>18</v>
      </c>
    </row>
    <row r="253" spans="1:9">
      <c r="A253" s="10" t="s">
        <v>123</v>
      </c>
      <c r="B253" s="10" t="s">
        <v>67</v>
      </c>
      <c r="C253" s="10" t="s">
        <v>134</v>
      </c>
      <c r="D253" s="12">
        <f>SUMPRODUCT((Data!$A$2:$A$666=$A253)*(Data!$B$2:$B$666=$B253)*(Data!$C$2:$C$666=$C253)*(ISNUMBER(MATCH(Data!$D$2:$D$666,BaseMonths,0)))*Data!$E$2:$E$666)</f>
        <v>17740.48</v>
      </c>
      <c r="E253" s="12">
        <f>SUMPRODUCT((Data!$A$2:$A$666=$A253)*(Data!$B$2:$B$666=$B253)*(Data!$C$2:$C$666=$C253)*(ISNUMBER(MATCH(Data!$D$2:$D$666,CurrentMonths,0)))*Data!$E$2:$E$666)</f>
        <v>12799.75</v>
      </c>
      <c r="F253" s="12">
        <f>E253-D253</f>
        <v>-4940.73</v>
      </c>
      <c r="G253" s="13">
        <f>IF(D253=0,"",F253/ABS(D253))</f>
        <v>-0.27850035624740704</v>
      </c>
      <c r="H253" s="10" t="str">
        <f>IF(ABS(F253)&gt;=Threshold,"Yes","No")</f>
        <v>No</v>
      </c>
      <c r="I253" s="10" t="s">
        <v>18</v>
      </c>
    </row>
    <row r="254" spans="1:9">
      <c r="A254" s="10" t="s">
        <v>322</v>
      </c>
      <c r="B254" s="10" t="s">
        <v>55</v>
      </c>
      <c r="C254" s="10" t="s">
        <v>403</v>
      </c>
      <c r="D254" s="12">
        <f>SUMPRODUCT((Data!$A$2:$A$666=$A254)*(Data!$B$2:$B$666=$B254)*(Data!$C$2:$C$666=$C254)*(ISNUMBER(MATCH(Data!$D$2:$D$666,BaseMonths,0)))*Data!$E$2:$E$666)</f>
        <v>11155.11</v>
      </c>
      <c r="E254" s="12">
        <f>SUMPRODUCT((Data!$A$2:$A$666=$A254)*(Data!$B$2:$B$666=$B254)*(Data!$C$2:$C$666=$C254)*(ISNUMBER(MATCH(Data!$D$2:$D$666,CurrentMonths,0)))*Data!$E$2:$E$666)</f>
        <v>6597.8</v>
      </c>
      <c r="F254" s="12">
        <f>E254-D254</f>
        <v>-4557.31</v>
      </c>
      <c r="G254" s="13">
        <f>IF(D254=0,"",F254/ABS(D254))</f>
        <v>-0.40854012197100703</v>
      </c>
      <c r="H254" s="10" t="str">
        <f>IF(ABS(F254)&gt;=Threshold,"Yes","No")</f>
        <v>No</v>
      </c>
      <c r="I254" s="10" t="s">
        <v>18</v>
      </c>
    </row>
    <row r="255" spans="1:9">
      <c r="A255" s="10" t="s">
        <v>322</v>
      </c>
      <c r="B255" s="10" t="s">
        <v>55</v>
      </c>
      <c r="C255" s="10" t="s">
        <v>395</v>
      </c>
      <c r="D255" s="12">
        <f>SUMPRODUCT((Data!$A$2:$A$666=$A255)*(Data!$B$2:$B$666=$B255)*(Data!$C$2:$C$666=$C255)*(ISNUMBER(MATCH(Data!$D$2:$D$666,BaseMonths,0)))*Data!$E$2:$E$666)</f>
        <v>24492.16</v>
      </c>
      <c r="E255" s="12">
        <f>SUMPRODUCT((Data!$A$2:$A$666=$A255)*(Data!$B$2:$B$666=$B255)*(Data!$C$2:$C$666=$C255)*(ISNUMBER(MATCH(Data!$D$2:$D$666,CurrentMonths,0)))*Data!$E$2:$E$666)</f>
        <v>20175.33</v>
      </c>
      <c r="F255" s="12">
        <f>E255-D255</f>
        <v>-4316.83</v>
      </c>
      <c r="G255" s="13">
        <f>IF(D255=0,"",F255/ABS(D255))</f>
        <v>-0.17625354399122004</v>
      </c>
      <c r="H255" s="10" t="str">
        <f>IF(ABS(F255)&gt;=Threshold,"Yes","No")</f>
        <v>No</v>
      </c>
      <c r="I255" s="10" t="s">
        <v>18</v>
      </c>
    </row>
    <row r="256" spans="1:9">
      <c r="A256" s="10" t="s">
        <v>322</v>
      </c>
      <c r="B256" s="10" t="s">
        <v>55</v>
      </c>
      <c r="C256" s="10" t="s">
        <v>393</v>
      </c>
      <c r="D256" s="12">
        <f>SUMPRODUCT((Data!$A$2:$A$666=$A256)*(Data!$B$2:$B$666=$B256)*(Data!$C$2:$C$666=$C256)*(ISNUMBER(MATCH(Data!$D$2:$D$666,BaseMonths,0)))*Data!$E$2:$E$666)</f>
        <v>75597.33</v>
      </c>
      <c r="E256" s="12">
        <f>SUMPRODUCT((Data!$A$2:$A$666=$A256)*(Data!$B$2:$B$666=$B256)*(Data!$C$2:$C$666=$C256)*(ISNUMBER(MATCH(Data!$D$2:$D$666,CurrentMonths,0)))*Data!$E$2:$E$666)</f>
        <v>71305.85</v>
      </c>
      <c r="F256" s="12">
        <f>E256-D256</f>
        <v>-4291.48</v>
      </c>
      <c r="G256" s="13">
        <f>IF(D256=0,"",F256/ABS(D256))</f>
        <v>-0.056767613353540386</v>
      </c>
      <c r="H256" s="10" t="str">
        <f>IF(ABS(F256)&gt;=Threshold,"Yes","No")</f>
        <v>No</v>
      </c>
      <c r="I256" s="10" t="s">
        <v>18</v>
      </c>
    </row>
    <row r="257" spans="1:9">
      <c r="A257" s="10" t="s">
        <v>70</v>
      </c>
      <c r="B257" s="10" t="s">
        <v>55</v>
      </c>
      <c r="C257" s="10" t="s">
        <v>79</v>
      </c>
      <c r="D257" s="12">
        <f>SUMPRODUCT((Data!$A$2:$A$666=$A257)*(Data!$B$2:$B$666=$B257)*(Data!$C$2:$C$666=$C257)*(ISNUMBER(MATCH(Data!$D$2:$D$666,BaseMonths,0)))*Data!$E$2:$E$666)</f>
        <v>12383.7</v>
      </c>
      <c r="E257" s="12">
        <f>SUMPRODUCT((Data!$A$2:$A$666=$A257)*(Data!$B$2:$B$666=$B257)*(Data!$C$2:$C$666=$C257)*(ISNUMBER(MATCH(Data!$D$2:$D$666,CurrentMonths,0)))*Data!$E$2:$E$666)</f>
        <v>8128.44</v>
      </c>
      <c r="F257" s="12">
        <f>E257-D257</f>
        <v>-4255.26</v>
      </c>
      <c r="G257" s="13">
        <f>IF(D257=0,"",F257/ABS(D257))</f>
        <v>-0.34361782019913273</v>
      </c>
      <c r="H257" s="10" t="str">
        <f>IF(ABS(F257)&gt;=Threshold,"Yes","No")</f>
        <v>No</v>
      </c>
      <c r="I257" s="10" t="s">
        <v>18</v>
      </c>
    </row>
    <row r="258" spans="1:9">
      <c r="A258" s="10" t="s">
        <v>104</v>
      </c>
      <c r="B258" s="10" t="s">
        <v>67</v>
      </c>
      <c r="C258" s="10" t="s">
        <v>107</v>
      </c>
      <c r="D258" s="12">
        <f>SUMPRODUCT((Data!$A$2:$A$666=$A258)*(Data!$B$2:$B$666=$B258)*(Data!$C$2:$C$666=$C258)*(ISNUMBER(MATCH(Data!$D$2:$D$666,BaseMonths,0)))*Data!$E$2:$E$666)</f>
        <v>10389.29</v>
      </c>
      <c r="E258" s="12">
        <f>SUMPRODUCT((Data!$A$2:$A$666=$A258)*(Data!$B$2:$B$666=$B258)*(Data!$C$2:$C$666=$C258)*(ISNUMBER(MATCH(Data!$D$2:$D$666,CurrentMonths,0)))*Data!$E$2:$E$666)</f>
        <v>14590.8</v>
      </c>
      <c r="F258" s="12">
        <f>E258-D258</f>
        <v>4201.51</v>
      </c>
      <c r="G258" s="13">
        <f>IF(D258=0,"",F258/ABS(D258))</f>
        <v>0.4044078084257923</v>
      </c>
      <c r="H258" s="10" t="str">
        <f>IF(ABS(F258)&gt;=Threshold,"Yes","No")</f>
        <v>No</v>
      </c>
      <c r="I258" s="10" t="s">
        <v>18</v>
      </c>
    </row>
    <row r="259" spans="1:9">
      <c r="A259" s="10" t="s">
        <v>70</v>
      </c>
      <c r="B259" s="10" t="s">
        <v>55</v>
      </c>
      <c r="C259" s="10" t="s">
        <v>77</v>
      </c>
      <c r="D259" s="12">
        <f>SUMPRODUCT((Data!$A$2:$A$666=$A259)*(Data!$B$2:$B$666=$B259)*(Data!$C$2:$C$666=$C259)*(ISNUMBER(MATCH(Data!$D$2:$D$666,BaseMonths,0)))*Data!$E$2:$E$666)</f>
        <v>17470.3</v>
      </c>
      <c r="E259" s="12">
        <f>SUMPRODUCT((Data!$A$2:$A$666=$A259)*(Data!$B$2:$B$666=$B259)*(Data!$C$2:$C$666=$C259)*(ISNUMBER(MATCH(Data!$D$2:$D$666,CurrentMonths,0)))*Data!$E$2:$E$666)</f>
        <v>21581.67</v>
      </c>
      <c r="F259" s="12">
        <f>E259-D259</f>
        <v>4111.37</v>
      </c>
      <c r="G259" s="13">
        <f>IF(D259=0,"",F259/ABS(D259))</f>
        <v>0.2353348253893751</v>
      </c>
      <c r="H259" s="10" t="str">
        <f>IF(ABS(F259)&gt;=Threshold,"Yes","No")</f>
        <v>No</v>
      </c>
      <c r="I259" s="10" t="s">
        <v>18</v>
      </c>
    </row>
    <row r="260" spans="1:9">
      <c r="A260" s="10" t="s">
        <v>229</v>
      </c>
      <c r="B260" s="10" t="s">
        <v>67</v>
      </c>
      <c r="C260" s="10" t="s">
        <v>233</v>
      </c>
      <c r="D260" s="12">
        <f>SUMPRODUCT((Data!$A$2:$A$666=$A260)*(Data!$B$2:$B$666=$B260)*(Data!$C$2:$C$666=$C260)*(ISNUMBER(MATCH(Data!$D$2:$D$666,BaseMonths,0)))*Data!$E$2:$E$666)</f>
        <v>10117.37</v>
      </c>
      <c r="E260" s="12">
        <f>SUMPRODUCT((Data!$A$2:$A$666=$A260)*(Data!$B$2:$B$666=$B260)*(Data!$C$2:$C$666=$C260)*(ISNUMBER(MATCH(Data!$D$2:$D$666,CurrentMonths,0)))*Data!$E$2:$E$666)</f>
        <v>6110.91</v>
      </c>
      <c r="F260" s="12">
        <f>E260-D260</f>
        <v>-4006.46</v>
      </c>
      <c r="G260" s="13">
        <f>IF(D260=0,"",F260/ABS(D260))</f>
        <v>-0.39599816948475736</v>
      </c>
      <c r="H260" s="10" t="str">
        <f>IF(ABS(F260)&gt;=Threshold,"Yes","No")</f>
        <v>No</v>
      </c>
      <c r="I260" s="10" t="s">
        <v>18</v>
      </c>
    </row>
    <row r="261" spans="1:9">
      <c r="A261" s="10" t="s">
        <v>181</v>
      </c>
      <c r="B261" s="10" t="s">
        <v>34</v>
      </c>
      <c r="C261" s="10" t="s">
        <v>185</v>
      </c>
      <c r="D261" s="12">
        <f>SUMPRODUCT((Data!$A$2:$A$666=$A261)*(Data!$B$2:$B$666=$B261)*(Data!$C$2:$C$666=$C261)*(ISNUMBER(MATCH(Data!$D$2:$D$666,BaseMonths,0)))*Data!$E$2:$E$666)</f>
        <v>1479.97</v>
      </c>
      <c r="E261" s="12">
        <f>SUMPRODUCT((Data!$A$2:$A$666=$A261)*(Data!$B$2:$B$666=$B261)*(Data!$C$2:$C$666=$C261)*(ISNUMBER(MATCH(Data!$D$2:$D$666,CurrentMonths,0)))*Data!$E$2:$E$666)</f>
        <v>5473.28</v>
      </c>
      <c r="F261" s="12">
        <f>E261-D261</f>
        <v>3993.31</v>
      </c>
      <c r="G261" s="13">
        <f>IF(D261=0,"",F261/ABS(D261))</f>
        <v>2.6982371264282383</v>
      </c>
      <c r="H261" s="10" t="str">
        <f>IF(ABS(F261)&gt;=Threshold,"Yes","No")</f>
        <v>No</v>
      </c>
      <c r="I261" s="10" t="s">
        <v>18</v>
      </c>
    </row>
    <row r="262" spans="1:9">
      <c r="A262" s="10" t="s">
        <v>322</v>
      </c>
      <c r="B262" s="10" t="s">
        <v>55</v>
      </c>
      <c r="C262" s="10" t="s">
        <v>344</v>
      </c>
      <c r="D262" s="12">
        <f>SUMPRODUCT((Data!$A$2:$A$666=$A262)*(Data!$B$2:$B$666=$B262)*(Data!$C$2:$C$666=$C262)*(ISNUMBER(MATCH(Data!$D$2:$D$666,BaseMonths,0)))*Data!$E$2:$E$666)</f>
        <v>9768.85</v>
      </c>
      <c r="E262" s="12">
        <f>SUMPRODUCT((Data!$A$2:$A$666=$A262)*(Data!$B$2:$B$666=$B262)*(Data!$C$2:$C$666=$C262)*(ISNUMBER(MATCH(Data!$D$2:$D$666,CurrentMonths,0)))*Data!$E$2:$E$666)</f>
        <v>5820.84</v>
      </c>
      <c r="F262" s="12">
        <f>E262-D262</f>
        <v>-3948.01</v>
      </c>
      <c r="G262" s="13">
        <f>IF(D262=0,"",F262/ABS(D262))</f>
        <v>-0.4041427598949723</v>
      </c>
      <c r="H262" s="10" t="str">
        <f>IF(ABS(F262)&gt;=Threshold,"Yes","No")</f>
        <v>No</v>
      </c>
      <c r="I262" s="10" t="s">
        <v>18</v>
      </c>
    </row>
    <row r="263" spans="1:9">
      <c r="A263" s="10" t="s">
        <v>229</v>
      </c>
      <c r="B263" s="10" t="s">
        <v>67</v>
      </c>
      <c r="C263" s="10" t="s">
        <v>232</v>
      </c>
      <c r="D263" s="12">
        <f>SUMPRODUCT((Data!$A$2:$A$666=$A263)*(Data!$B$2:$B$666=$B263)*(Data!$C$2:$C$666=$C263)*(ISNUMBER(MATCH(Data!$D$2:$D$666,BaseMonths,0)))*Data!$E$2:$E$666)</f>
        <v>8066.54</v>
      </c>
      <c r="E263" s="12">
        <f>SUMPRODUCT((Data!$A$2:$A$666=$A263)*(Data!$B$2:$B$666=$B263)*(Data!$C$2:$C$666=$C263)*(ISNUMBER(MATCH(Data!$D$2:$D$666,CurrentMonths,0)))*Data!$E$2:$E$666)</f>
        <v>4221.65</v>
      </c>
      <c r="F263" s="12">
        <f>E263-D263</f>
        <v>-3844.89</v>
      </c>
      <c r="G263" s="13">
        <f>IF(D263=0,"",F263/ABS(D263))</f>
        <v>-0.4766467407339454</v>
      </c>
      <c r="H263" s="10" t="str">
        <f>IF(ABS(F263)&gt;=Threshold,"Yes","No")</f>
        <v>No</v>
      </c>
      <c r="I263" s="10" t="s">
        <v>18</v>
      </c>
    </row>
    <row r="264" spans="1:9">
      <c r="A264" s="10" t="s">
        <v>251</v>
      </c>
      <c r="B264" s="10" t="s">
        <v>34</v>
      </c>
      <c r="C264" s="10" t="s">
        <v>255</v>
      </c>
      <c r="D264" s="12">
        <f>SUMPRODUCT((Data!$A$2:$A$666=$A264)*(Data!$B$2:$B$666=$B264)*(Data!$C$2:$C$666=$C264)*(ISNUMBER(MATCH(Data!$D$2:$D$666,BaseMonths,0)))*Data!$E$2:$E$666)</f>
        <v>5697.97</v>
      </c>
      <c r="E264" s="12">
        <f>SUMPRODUCT((Data!$A$2:$A$666=$A264)*(Data!$B$2:$B$666=$B264)*(Data!$C$2:$C$666=$C264)*(ISNUMBER(MATCH(Data!$D$2:$D$666,CurrentMonths,0)))*Data!$E$2:$E$666)</f>
        <v>2281.78</v>
      </c>
      <c r="F264" s="12">
        <f>E264-D264</f>
        <v>-3416.19</v>
      </c>
      <c r="G264" s="13">
        <f>IF(D264=0,"",F264/ABS(D264))</f>
        <v>-0.5995451011500587</v>
      </c>
      <c r="H264" s="10" t="str">
        <f>IF(ABS(F264)&gt;=Threshold,"Yes","No")</f>
        <v>No</v>
      </c>
      <c r="I264" s="10" t="s">
        <v>18</v>
      </c>
    </row>
    <row r="265" spans="1:9">
      <c r="A265" s="10" t="s">
        <v>261</v>
      </c>
      <c r="B265" s="10" t="s">
        <v>67</v>
      </c>
      <c r="C265" s="10" t="s">
        <v>265</v>
      </c>
      <c r="D265" s="12">
        <f>SUMPRODUCT((Data!$A$2:$A$666=$A265)*(Data!$B$2:$B$666=$B265)*(Data!$C$2:$C$666=$C265)*(ISNUMBER(MATCH(Data!$D$2:$D$666,BaseMonths,0)))*Data!$E$2:$E$666)</f>
        <v>2220.71</v>
      </c>
      <c r="E265" s="12">
        <f>SUMPRODUCT((Data!$A$2:$A$666=$A265)*(Data!$B$2:$B$666=$B265)*(Data!$C$2:$C$666=$C265)*(ISNUMBER(MATCH(Data!$D$2:$D$666,CurrentMonths,0)))*Data!$E$2:$E$666)</f>
        <v>5575.21</v>
      </c>
      <c r="F265" s="12">
        <f>E265-D265</f>
        <v>3354.5</v>
      </c>
      <c r="G265" s="13">
        <f>IF(D265=0,"",F265/ABS(D265))</f>
        <v>1.510552931269729</v>
      </c>
      <c r="H265" s="10" t="str">
        <f>IF(ABS(F265)&gt;=Threshold,"Yes","No")</f>
        <v>No</v>
      </c>
      <c r="I265" s="10" t="s">
        <v>18</v>
      </c>
    </row>
    <row r="266" spans="1:9">
      <c r="A266" s="10" t="s">
        <v>229</v>
      </c>
      <c r="B266" s="10" t="s">
        <v>67</v>
      </c>
      <c r="C266" s="10" t="s">
        <v>243</v>
      </c>
      <c r="D266" s="12">
        <f>SUMPRODUCT((Data!$A$2:$A$666=$A266)*(Data!$B$2:$B$666=$B266)*(Data!$C$2:$C$666=$C266)*(ISNUMBER(MATCH(Data!$D$2:$D$666,BaseMonths,0)))*Data!$E$2:$E$666)</f>
        <v>2014.93</v>
      </c>
      <c r="E266" s="12">
        <f>SUMPRODUCT((Data!$A$2:$A$666=$A266)*(Data!$B$2:$B$666=$B266)*(Data!$C$2:$C$666=$C266)*(ISNUMBER(MATCH(Data!$D$2:$D$666,CurrentMonths,0)))*Data!$E$2:$E$666)</f>
        <v>5357.92</v>
      </c>
      <c r="F266" s="12">
        <f>E266-D266</f>
        <v>3342.99</v>
      </c>
      <c r="G266" s="13">
        <f>IF(D266=0,"",F266/ABS(D266))</f>
        <v>1.659109745747991</v>
      </c>
      <c r="H266" s="10" t="str">
        <f>IF(ABS(F266)&gt;=Threshold,"Yes","No")</f>
        <v>No</v>
      </c>
      <c r="I266" s="10" t="s">
        <v>18</v>
      </c>
    </row>
    <row r="267" spans="1:9">
      <c r="A267" s="10" t="s">
        <v>181</v>
      </c>
      <c r="B267" s="10" t="s">
        <v>34</v>
      </c>
      <c r="C267" s="10" t="s">
        <v>193</v>
      </c>
      <c r="D267" s="12">
        <f>SUMPRODUCT((Data!$A$2:$A$666=$A267)*(Data!$B$2:$B$666=$B267)*(Data!$C$2:$C$666=$C267)*(ISNUMBER(MATCH(Data!$D$2:$D$666,BaseMonths,0)))*Data!$E$2:$E$666)</f>
        <v>13023.73</v>
      </c>
      <c r="E267" s="12">
        <f>SUMPRODUCT((Data!$A$2:$A$666=$A267)*(Data!$B$2:$B$666=$B267)*(Data!$C$2:$C$666=$C267)*(ISNUMBER(MATCH(Data!$D$2:$D$666,CurrentMonths,0)))*Data!$E$2:$E$666)</f>
        <v>16225.84</v>
      </c>
      <c r="F267" s="12">
        <f>E267-D267</f>
        <v>3202.11</v>
      </c>
      <c r="G267" s="13">
        <f>IF(D267=0,"",F267/ABS(D267))</f>
        <v>0.24586735136554583</v>
      </c>
      <c r="H267" s="10" t="str">
        <f>IF(ABS(F267)&gt;=Threshold,"Yes","No")</f>
        <v>No</v>
      </c>
      <c r="I267" s="10" t="s">
        <v>18</v>
      </c>
    </row>
    <row r="268" spans="1:9">
      <c r="A268" s="10" t="s">
        <v>111</v>
      </c>
      <c r="B268" s="10" t="s">
        <v>67</v>
      </c>
      <c r="C268" s="10" t="s">
        <v>122</v>
      </c>
      <c r="D268" s="12">
        <f>SUMPRODUCT((Data!$A$2:$A$666=$A268)*(Data!$B$2:$B$666=$B268)*(Data!$C$2:$C$666=$C268)*(ISNUMBER(MATCH(Data!$D$2:$D$666,BaseMonths,0)))*Data!$E$2:$E$666)</f>
        <v>12378.53</v>
      </c>
      <c r="E268" s="12">
        <f>SUMPRODUCT((Data!$A$2:$A$666=$A268)*(Data!$B$2:$B$666=$B268)*(Data!$C$2:$C$666=$C268)*(ISNUMBER(MATCH(Data!$D$2:$D$666,CurrentMonths,0)))*Data!$E$2:$E$666)</f>
        <v>9218.94</v>
      </c>
      <c r="F268" s="12">
        <f>E268-D268</f>
        <v>-3159.59</v>
      </c>
      <c r="G268" s="13">
        <f>IF(D268=0,"",F268/ABS(D268))</f>
        <v>-0.2552475940196453</v>
      </c>
      <c r="H268" s="10" t="str">
        <f>IF(ABS(F268)&gt;=Threshold,"Yes","No")</f>
        <v>No</v>
      </c>
      <c r="I268" s="10" t="s">
        <v>18</v>
      </c>
    </row>
    <row r="269" spans="1:9">
      <c r="A269" s="10" t="s">
        <v>144</v>
      </c>
      <c r="B269" s="10" t="s">
        <v>34</v>
      </c>
      <c r="C269" s="10" t="s">
        <v>151</v>
      </c>
      <c r="D269" s="12">
        <f>SUMPRODUCT((Data!$A$2:$A$666=$A269)*(Data!$B$2:$B$666=$B269)*(Data!$C$2:$C$666=$C269)*(ISNUMBER(MATCH(Data!$D$2:$D$666,BaseMonths,0)))*Data!$E$2:$E$666)</f>
        <v>2579.12</v>
      </c>
      <c r="E269" s="12">
        <f>SUMPRODUCT((Data!$A$2:$A$666=$A269)*(Data!$B$2:$B$666=$B269)*(Data!$C$2:$C$666=$C269)*(ISNUMBER(MATCH(Data!$D$2:$D$666,CurrentMonths,0)))*Data!$E$2:$E$666)</f>
        <v>5737.22</v>
      </c>
      <c r="F269" s="12">
        <f>E269-D269</f>
        <v>3158.1</v>
      </c>
      <c r="G269" s="13">
        <f>IF(D269=0,"",F269/ABS(D269))</f>
        <v>1.2244874220664412</v>
      </c>
      <c r="H269" s="10" t="str">
        <f>IF(ABS(F269)&gt;=Threshold,"Yes","No")</f>
        <v>No</v>
      </c>
      <c r="I269" s="10" t="s">
        <v>18</v>
      </c>
    </row>
    <row r="270" spans="1:9">
      <c r="A270" s="10" t="s">
        <v>33</v>
      </c>
      <c r="B270" s="10" t="s">
        <v>34</v>
      </c>
      <c r="C270" s="10" t="s">
        <v>36</v>
      </c>
      <c r="D270" s="12">
        <f>SUMPRODUCT((Data!$A$2:$A$666=$A270)*(Data!$B$2:$B$666=$B270)*(Data!$C$2:$C$666=$C270)*(ISNUMBER(MATCH(Data!$D$2:$D$666,BaseMonths,0)))*Data!$E$2:$E$666)</f>
        <v>10829.63</v>
      </c>
      <c r="E270" s="12">
        <f>SUMPRODUCT((Data!$A$2:$A$666=$A270)*(Data!$B$2:$B$666=$B270)*(Data!$C$2:$C$666=$C270)*(ISNUMBER(MATCH(Data!$D$2:$D$666,CurrentMonths,0)))*Data!$E$2:$E$666)</f>
        <v>7752.0</v>
      </c>
      <c r="F270" s="12">
        <f>E270-D270</f>
        <v>-3077.63</v>
      </c>
      <c r="G270" s="13">
        <f>IF(D270=0,"",F270/ABS(D270))</f>
        <v>-0.28418607099226845</v>
      </c>
      <c r="H270" s="10" t="str">
        <f>IF(ABS(F270)&gt;=Threshold,"Yes","No")</f>
        <v>No</v>
      </c>
      <c r="I270" s="10" t="s">
        <v>18</v>
      </c>
    </row>
    <row r="271" spans="1:9">
      <c r="A271" s="10" t="s">
        <v>322</v>
      </c>
      <c r="B271" s="10" t="s">
        <v>55</v>
      </c>
      <c r="C271" s="10" t="s">
        <v>379</v>
      </c>
      <c r="D271" s="12">
        <f>SUMPRODUCT((Data!$A$2:$A$666=$A271)*(Data!$B$2:$B$666=$B271)*(Data!$C$2:$C$666=$C271)*(ISNUMBER(MATCH(Data!$D$2:$D$666,BaseMonths,0)))*Data!$E$2:$E$666)</f>
        <v>29793.7</v>
      </c>
      <c r="E271" s="12">
        <f>SUMPRODUCT((Data!$A$2:$A$666=$A271)*(Data!$B$2:$B$666=$B271)*(Data!$C$2:$C$666=$C271)*(ISNUMBER(MATCH(Data!$D$2:$D$666,CurrentMonths,0)))*Data!$E$2:$E$666)</f>
        <v>32820.51</v>
      </c>
      <c r="F271" s="12">
        <f>E271-D271</f>
        <v>3026.81</v>
      </c>
      <c r="G271" s="13">
        <f>IF(D271=0,"",F271/ABS(D271))</f>
        <v>0.10159228293229776</v>
      </c>
      <c r="H271" s="10" t="str">
        <f>IF(ABS(F271)&gt;=Threshold,"Yes","No")</f>
        <v>No</v>
      </c>
      <c r="I271" s="10" t="s">
        <v>18</v>
      </c>
    </row>
    <row r="272" spans="1:9">
      <c r="A272" s="10" t="s">
        <v>161</v>
      </c>
      <c r="B272" s="10" t="s">
        <v>67</v>
      </c>
      <c r="C272" s="10" t="s">
        <v>168</v>
      </c>
      <c r="D272" s="12">
        <f>SUMPRODUCT((Data!$A$2:$A$666=$A272)*(Data!$B$2:$B$666=$B272)*(Data!$C$2:$C$666=$C272)*(ISNUMBER(MATCH(Data!$D$2:$D$666,BaseMonths,0)))*Data!$E$2:$E$666)</f>
        <v>7327.95</v>
      </c>
      <c r="E272" s="12">
        <f>SUMPRODUCT((Data!$A$2:$A$666=$A272)*(Data!$B$2:$B$666=$B272)*(Data!$C$2:$C$666=$C272)*(ISNUMBER(MATCH(Data!$D$2:$D$666,CurrentMonths,0)))*Data!$E$2:$E$666)</f>
        <v>4405.87</v>
      </c>
      <c r="F272" s="12">
        <f>E272-D272</f>
        <v>-2922.08</v>
      </c>
      <c r="G272" s="13">
        <f>IF(D272=0,"",F272/ABS(D272))</f>
        <v>-0.39875817929980417</v>
      </c>
      <c r="H272" s="10" t="str">
        <f>IF(ABS(F272)&gt;=Threshold,"Yes","No")</f>
        <v>No</v>
      </c>
      <c r="I272" s="10" t="s">
        <v>18</v>
      </c>
    </row>
    <row r="273" spans="1:9">
      <c r="A273" s="10" t="s">
        <v>123</v>
      </c>
      <c r="B273" s="10" t="s">
        <v>67</v>
      </c>
      <c r="C273" s="10" t="s">
        <v>138</v>
      </c>
      <c r="D273" s="12">
        <f>SUMPRODUCT((Data!$A$2:$A$666=$A273)*(Data!$B$2:$B$666=$B273)*(Data!$C$2:$C$666=$C273)*(ISNUMBER(MATCH(Data!$D$2:$D$666,BaseMonths,0)))*Data!$E$2:$E$666)</f>
        <v>36444.42</v>
      </c>
      <c r="E273" s="12">
        <f>SUMPRODUCT((Data!$A$2:$A$666=$A273)*(Data!$B$2:$B$666=$B273)*(Data!$C$2:$C$666=$C273)*(ISNUMBER(MATCH(Data!$D$2:$D$666,CurrentMonths,0)))*Data!$E$2:$E$666)</f>
        <v>33555.97</v>
      </c>
      <c r="F273" s="12">
        <f>E273-D273</f>
        <v>-2888.45</v>
      </c>
      <c r="G273" s="13">
        <f>IF(D273=0,"",F273/ABS(D273))</f>
        <v>-0.07925630315971553</v>
      </c>
      <c r="H273" s="10" t="str">
        <f>IF(ABS(F273)&gt;=Threshold,"Yes","No")</f>
        <v>No</v>
      </c>
      <c r="I273" s="10" t="s">
        <v>18</v>
      </c>
    </row>
    <row r="274" spans="1:9">
      <c r="A274" s="10" t="s">
        <v>198</v>
      </c>
      <c r="B274" s="10" t="s">
        <v>34</v>
      </c>
      <c r="C274" s="10" t="s">
        <v>200</v>
      </c>
      <c r="D274" s="12">
        <f>SUMPRODUCT((Data!$A$2:$A$666=$A274)*(Data!$B$2:$B$666=$B274)*(Data!$C$2:$C$666=$C274)*(ISNUMBER(MATCH(Data!$D$2:$D$666,BaseMonths,0)))*Data!$E$2:$E$666)</f>
        <v>10786.46</v>
      </c>
      <c r="E274" s="12">
        <f>SUMPRODUCT((Data!$A$2:$A$666=$A274)*(Data!$B$2:$B$666=$B274)*(Data!$C$2:$C$666=$C274)*(ISNUMBER(MATCH(Data!$D$2:$D$666,CurrentMonths,0)))*Data!$E$2:$E$666)</f>
        <v>13663.64</v>
      </c>
      <c r="F274" s="12">
        <f>E274-D274</f>
        <v>2877.18</v>
      </c>
      <c r="G274" s="13">
        <f>IF(D274=0,"",F274/ABS(D274))</f>
        <v>0.266739968441917</v>
      </c>
      <c r="H274" s="10" t="str">
        <f>IF(ABS(F274)&gt;=Threshold,"Yes","No")</f>
        <v>No</v>
      </c>
      <c r="I274" s="10" t="s">
        <v>18</v>
      </c>
    </row>
    <row r="275" spans="1:9">
      <c r="A275" s="10" t="s">
        <v>266</v>
      </c>
      <c r="B275" s="10" t="s">
        <v>34</v>
      </c>
      <c r="C275" s="10" t="s">
        <v>271</v>
      </c>
      <c r="D275" s="12">
        <f>SUMPRODUCT((Data!$A$2:$A$666=$A275)*(Data!$B$2:$B$666=$B275)*(Data!$C$2:$C$666=$C275)*(ISNUMBER(MATCH(Data!$D$2:$D$666,BaseMonths,0)))*Data!$E$2:$E$666)</f>
        <v>228175.91</v>
      </c>
      <c r="E275" s="12">
        <f>SUMPRODUCT((Data!$A$2:$A$666=$A275)*(Data!$B$2:$B$666=$B275)*(Data!$C$2:$C$666=$C275)*(ISNUMBER(MATCH(Data!$D$2:$D$666,CurrentMonths,0)))*Data!$E$2:$E$666)</f>
        <v>230750.89</v>
      </c>
      <c r="F275" s="12">
        <f>E275-D275</f>
        <v>2574.98</v>
      </c>
      <c r="G275" s="13">
        <f>IF(D275=0,"",F275/ABS(D275))</f>
        <v>0.011285065106127987</v>
      </c>
      <c r="H275" s="10" t="str">
        <f>IF(ABS(F275)&gt;=Threshold,"Yes","No")</f>
        <v>No</v>
      </c>
      <c r="I275" s="10" t="s">
        <v>18</v>
      </c>
    </row>
    <row r="276" spans="1:9">
      <c r="A276" s="10" t="s">
        <v>284</v>
      </c>
      <c r="B276" s="10" t="s">
        <v>67</v>
      </c>
      <c r="C276" s="10" t="s">
        <v>288</v>
      </c>
      <c r="D276" s="12">
        <f>SUMPRODUCT((Data!$A$2:$A$666=$A276)*(Data!$B$2:$B$666=$B276)*(Data!$C$2:$C$666=$C276)*(ISNUMBER(MATCH(Data!$D$2:$D$666,BaseMonths,0)))*Data!$E$2:$E$666)</f>
        <v>3321.49</v>
      </c>
      <c r="E276" s="12">
        <f>SUMPRODUCT((Data!$A$2:$A$666=$A276)*(Data!$B$2:$B$666=$B276)*(Data!$C$2:$C$666=$C276)*(ISNUMBER(MATCH(Data!$D$2:$D$666,CurrentMonths,0)))*Data!$E$2:$E$666)</f>
        <v>762.8</v>
      </c>
      <c r="F276" s="12">
        <f>E276-D276</f>
        <v>-2558.69</v>
      </c>
      <c r="G276" s="13">
        <f>IF(D276=0,"",F276/ABS(D276))</f>
        <v>-0.7703440323469287</v>
      </c>
      <c r="H276" s="10" t="str">
        <f>IF(ABS(F276)&gt;=Threshold,"Yes","No")</f>
        <v>No</v>
      </c>
      <c r="I276" s="10" t="s">
        <v>18</v>
      </c>
    </row>
    <row r="277" spans="1:9">
      <c r="A277" s="10" t="s">
        <v>123</v>
      </c>
      <c r="B277" s="10" t="s">
        <v>67</v>
      </c>
      <c r="C277" s="10" t="s">
        <v>132</v>
      </c>
      <c r="D277" s="12">
        <f>SUMPRODUCT((Data!$A$2:$A$666=$A277)*(Data!$B$2:$B$666=$B277)*(Data!$C$2:$C$666=$C277)*(ISNUMBER(MATCH(Data!$D$2:$D$666,BaseMonths,0)))*Data!$E$2:$E$666)</f>
        <v>233632.69</v>
      </c>
      <c r="E277" s="12">
        <f>SUMPRODUCT((Data!$A$2:$A$666=$A277)*(Data!$B$2:$B$666=$B277)*(Data!$C$2:$C$666=$C277)*(ISNUMBER(MATCH(Data!$D$2:$D$666,CurrentMonths,0)))*Data!$E$2:$E$666)</f>
        <v>231084.75</v>
      </c>
      <c r="F277" s="12">
        <f>E277-D277</f>
        <v>-2547.94</v>
      </c>
      <c r="G277" s="13">
        <f>IF(D277=0,"",F277/ABS(D277))</f>
        <v>-0.010905751245683984</v>
      </c>
      <c r="H277" s="10" t="str">
        <f>IF(ABS(F277)&gt;=Threshold,"Yes","No")</f>
        <v>No</v>
      </c>
      <c r="I277" s="10" t="s">
        <v>18</v>
      </c>
    </row>
    <row r="278" spans="1:9">
      <c r="A278" s="10" t="s">
        <v>322</v>
      </c>
      <c r="B278" s="10" t="s">
        <v>55</v>
      </c>
      <c r="C278" s="10" t="s">
        <v>343</v>
      </c>
      <c r="D278" s="12">
        <f>SUMPRODUCT((Data!$A$2:$A$666=$A278)*(Data!$B$2:$B$666=$B278)*(Data!$C$2:$C$666=$C278)*(ISNUMBER(MATCH(Data!$D$2:$D$666,BaseMonths,0)))*Data!$E$2:$E$666)</f>
        <v>9686.51</v>
      </c>
      <c r="E278" s="12">
        <f>SUMPRODUCT((Data!$A$2:$A$666=$A278)*(Data!$B$2:$B$666=$B278)*(Data!$C$2:$C$666=$C278)*(ISNUMBER(MATCH(Data!$D$2:$D$666,CurrentMonths,0)))*Data!$E$2:$E$666)</f>
        <v>12093.58</v>
      </c>
      <c r="F278" s="12">
        <f>E278-D278</f>
        <v>2407.07</v>
      </c>
      <c r="G278" s="13">
        <f>IF(D278=0,"",F278/ABS(D278))</f>
        <v>0.24849713673965135</v>
      </c>
      <c r="H278" s="10" t="str">
        <f>IF(ABS(F278)&gt;=Threshold,"Yes","No")</f>
        <v>No</v>
      </c>
      <c r="I278" s="10" t="s">
        <v>18</v>
      </c>
    </row>
    <row r="279" spans="1:9">
      <c r="A279" s="10" t="s">
        <v>322</v>
      </c>
      <c r="B279" s="10" t="s">
        <v>55</v>
      </c>
      <c r="C279" s="10" t="s">
        <v>366</v>
      </c>
      <c r="D279" s="12">
        <f>SUMPRODUCT((Data!$A$2:$A$666=$A279)*(Data!$B$2:$B$666=$B279)*(Data!$C$2:$C$666=$C279)*(ISNUMBER(MATCH(Data!$D$2:$D$666,BaseMonths,0)))*Data!$E$2:$E$666)</f>
        <v>38970.3</v>
      </c>
      <c r="E279" s="12">
        <f>SUMPRODUCT((Data!$A$2:$A$666=$A279)*(Data!$B$2:$B$666=$B279)*(Data!$C$2:$C$666=$C279)*(ISNUMBER(MATCH(Data!$D$2:$D$666,CurrentMonths,0)))*Data!$E$2:$E$666)</f>
        <v>41153.79</v>
      </c>
      <c r="F279" s="12">
        <f>E279-D279</f>
        <v>2183.49</v>
      </c>
      <c r="G279" s="13">
        <f>IF(D279=0,"",F279/ABS(D279))</f>
        <v>0.0560295917660372</v>
      </c>
      <c r="H279" s="10" t="str">
        <f>IF(ABS(F279)&gt;=Threshold,"Yes","No")</f>
        <v>No</v>
      </c>
      <c r="I279" s="10" t="s">
        <v>18</v>
      </c>
    </row>
    <row r="280" spans="1:9">
      <c r="A280" s="10" t="s">
        <v>251</v>
      </c>
      <c r="B280" s="10" t="s">
        <v>34</v>
      </c>
      <c r="C280" s="10" t="s">
        <v>253</v>
      </c>
      <c r="D280" s="12">
        <f>SUMPRODUCT((Data!$A$2:$A$666=$A280)*(Data!$B$2:$B$666=$B280)*(Data!$C$2:$C$666=$C280)*(ISNUMBER(MATCH(Data!$D$2:$D$666,BaseMonths,0)))*Data!$E$2:$E$666)</f>
        <v>24568.45</v>
      </c>
      <c r="E280" s="12">
        <f>SUMPRODUCT((Data!$A$2:$A$666=$A280)*(Data!$B$2:$B$666=$B280)*(Data!$C$2:$C$666=$C280)*(ISNUMBER(MATCH(Data!$D$2:$D$666,CurrentMonths,0)))*Data!$E$2:$E$666)</f>
        <v>26719.65</v>
      </c>
      <c r="F280" s="12">
        <f>E280-D280</f>
        <v>2151.2</v>
      </c>
      <c r="G280" s="13">
        <f>IF(D280=0,"",F280/ABS(D280))</f>
        <v>0.08755945124743318</v>
      </c>
      <c r="H280" s="10" t="str">
        <f>IF(ABS(F280)&gt;=Threshold,"Yes","No")</f>
        <v>No</v>
      </c>
      <c r="I280" s="10" t="s">
        <v>18</v>
      </c>
    </row>
    <row r="281" spans="1:9">
      <c r="A281" s="10" t="s">
        <v>213</v>
      </c>
      <c r="B281" s="10" t="s">
        <v>67</v>
      </c>
      <c r="C281" s="10" t="s">
        <v>224</v>
      </c>
      <c r="D281" s="12">
        <f>SUMPRODUCT((Data!$A$2:$A$666=$A281)*(Data!$B$2:$B$666=$B281)*(Data!$C$2:$C$666=$C281)*(ISNUMBER(MATCH(Data!$D$2:$D$666,BaseMonths,0)))*Data!$E$2:$E$666)</f>
        <v>0.0</v>
      </c>
      <c r="E281" s="12">
        <f>SUMPRODUCT((Data!$A$2:$A$666=$A281)*(Data!$B$2:$B$666=$B281)*(Data!$C$2:$C$666=$C281)*(ISNUMBER(MATCH(Data!$D$2:$D$666,CurrentMonths,0)))*Data!$E$2:$E$666)</f>
        <v>2118.38</v>
      </c>
      <c r="F281" s="12">
        <f>E281-D281</f>
        <v>2118.38</v>
      </c>
      <c r="G281" s="13">
        <f>IF(D281=0,"",F281/ABS(D281))</f>
        <v/>
      </c>
      <c r="H281" s="10" t="str">
        <f>IF(ABS(F281)&gt;=Threshold,"Yes","No")</f>
        <v>No</v>
      </c>
      <c r="I281" s="10" t="s">
        <v>18</v>
      </c>
    </row>
    <row r="282" spans="1:9">
      <c r="A282" s="10" t="s">
        <v>176</v>
      </c>
      <c r="B282" s="10" t="s">
        <v>67</v>
      </c>
      <c r="C282" s="10" t="s">
        <v>178</v>
      </c>
      <c r="D282" s="12">
        <f>SUMPRODUCT((Data!$A$2:$A$666=$A282)*(Data!$B$2:$B$666=$B282)*(Data!$C$2:$C$666=$C282)*(ISNUMBER(MATCH(Data!$D$2:$D$666,BaseMonths,0)))*Data!$E$2:$E$666)</f>
        <v>487.27</v>
      </c>
      <c r="E282" s="12">
        <f>SUMPRODUCT((Data!$A$2:$A$666=$A282)*(Data!$B$2:$B$666=$B282)*(Data!$C$2:$C$666=$C282)*(ISNUMBER(MATCH(Data!$D$2:$D$666,CurrentMonths,0)))*Data!$E$2:$E$666)</f>
        <v>2577.5</v>
      </c>
      <c r="F282" s="12">
        <f>E282-D282</f>
        <v>2090.23</v>
      </c>
      <c r="G282" s="13">
        <f>IF(D282=0,"",F282/ABS(D282))</f>
        <v>4.289675128778706</v>
      </c>
      <c r="H282" s="10" t="str">
        <f>IF(ABS(F282)&gt;=Threshold,"Yes","No")</f>
        <v>No</v>
      </c>
      <c r="I282" s="10" t="s">
        <v>18</v>
      </c>
    </row>
    <row r="283" spans="1:9">
      <c r="A283" s="10" t="s">
        <v>322</v>
      </c>
      <c r="B283" s="10" t="s">
        <v>55</v>
      </c>
      <c r="C283" s="10" t="s">
        <v>329</v>
      </c>
      <c r="D283" s="12">
        <f>SUMPRODUCT((Data!$A$2:$A$666=$A283)*(Data!$B$2:$B$666=$B283)*(Data!$C$2:$C$666=$C283)*(ISNUMBER(MATCH(Data!$D$2:$D$666,BaseMonths,0)))*Data!$E$2:$E$666)</f>
        <v>18401.84</v>
      </c>
      <c r="E283" s="12">
        <f>SUMPRODUCT((Data!$A$2:$A$666=$A283)*(Data!$B$2:$B$666=$B283)*(Data!$C$2:$C$666=$C283)*(ISNUMBER(MATCH(Data!$D$2:$D$666,CurrentMonths,0)))*Data!$E$2:$E$666)</f>
        <v>16330.14</v>
      </c>
      <c r="F283" s="12">
        <f>E283-D283</f>
        <v>-2071.7</v>
      </c>
      <c r="G283" s="13">
        <f>IF(D283=0,"",F283/ABS(D283))</f>
        <v>-0.1125811331910287</v>
      </c>
      <c r="H283" s="10" t="str">
        <f>IF(ABS(F283)&gt;=Threshold,"Yes","No")</f>
        <v>No</v>
      </c>
      <c r="I283" s="10" t="s">
        <v>18</v>
      </c>
    </row>
    <row r="284" spans="1:9">
      <c r="A284" s="10" t="s">
        <v>322</v>
      </c>
      <c r="B284" s="10" t="s">
        <v>55</v>
      </c>
      <c r="C284" s="10" t="s">
        <v>332</v>
      </c>
      <c r="D284" s="12">
        <f>SUMPRODUCT((Data!$A$2:$A$666=$A284)*(Data!$B$2:$B$666=$B284)*(Data!$C$2:$C$666=$C284)*(ISNUMBER(MATCH(Data!$D$2:$D$666,BaseMonths,0)))*Data!$E$2:$E$666)</f>
        <v>1425.75</v>
      </c>
      <c r="E284" s="12">
        <f>SUMPRODUCT((Data!$A$2:$A$666=$A284)*(Data!$B$2:$B$666=$B284)*(Data!$C$2:$C$666=$C284)*(ISNUMBER(MATCH(Data!$D$2:$D$666,CurrentMonths,0)))*Data!$E$2:$E$666)</f>
        <v>3373.76</v>
      </c>
      <c r="F284" s="12">
        <f>E284-D284</f>
        <v>1948.01</v>
      </c>
      <c r="G284" s="13">
        <f>IF(D284=0,"",F284/ABS(D284))</f>
        <v>1.3663054532702086</v>
      </c>
      <c r="H284" s="10" t="str">
        <f>IF(ABS(F284)&gt;=Threshold,"Yes","No")</f>
        <v>No</v>
      </c>
      <c r="I284" s="10" t="s">
        <v>18</v>
      </c>
    </row>
    <row r="285" spans="1:9">
      <c r="A285" s="10" t="s">
        <v>159</v>
      </c>
      <c r="B285" s="10" t="s">
        <v>34</v>
      </c>
      <c r="C285" s="10" t="s">
        <v>160</v>
      </c>
      <c r="D285" s="12">
        <f>SUMPRODUCT((Data!$A$2:$A$666=$A285)*(Data!$B$2:$B$666=$B285)*(Data!$C$2:$C$666=$C285)*(ISNUMBER(MATCH(Data!$D$2:$D$666,BaseMonths,0)))*Data!$E$2:$E$666)</f>
        <v>32016.31</v>
      </c>
      <c r="E285" s="12">
        <f>SUMPRODUCT((Data!$A$2:$A$666=$A285)*(Data!$B$2:$B$666=$B285)*(Data!$C$2:$C$666=$C285)*(ISNUMBER(MATCH(Data!$D$2:$D$666,CurrentMonths,0)))*Data!$E$2:$E$666)</f>
        <v>30085.96</v>
      </c>
      <c r="F285" s="12">
        <f>E285-D285</f>
        <v>-1930.35</v>
      </c>
      <c r="G285" s="13">
        <f>IF(D285=0,"",F285/ABS(D285))</f>
        <v>-0.06029270706086991</v>
      </c>
      <c r="H285" s="10" t="str">
        <f>IF(ABS(F285)&gt;=Threshold,"Yes","No")</f>
        <v>No</v>
      </c>
      <c r="I285" s="10" t="s">
        <v>18</v>
      </c>
    </row>
    <row r="286" spans="1:9">
      <c r="A286" s="10" t="s">
        <v>70</v>
      </c>
      <c r="B286" s="10" t="s">
        <v>55</v>
      </c>
      <c r="C286" s="10" t="s">
        <v>83</v>
      </c>
      <c r="D286" s="12">
        <f>SUMPRODUCT((Data!$A$2:$A$666=$A286)*(Data!$B$2:$B$666=$B286)*(Data!$C$2:$C$666=$C286)*(ISNUMBER(MATCH(Data!$D$2:$D$666,BaseMonths,0)))*Data!$E$2:$E$666)</f>
        <v>6544.76</v>
      </c>
      <c r="E286" s="12">
        <f>SUMPRODUCT((Data!$A$2:$A$666=$A286)*(Data!$B$2:$B$666=$B286)*(Data!$C$2:$C$666=$C286)*(ISNUMBER(MATCH(Data!$D$2:$D$666,CurrentMonths,0)))*Data!$E$2:$E$666)</f>
        <v>8409.27</v>
      </c>
      <c r="F286" s="12">
        <f>E286-D286</f>
        <v>1864.51</v>
      </c>
      <c r="G286" s="13">
        <f>IF(D286=0,"",F286/ABS(D286))</f>
        <v>0.2848859240063807</v>
      </c>
      <c r="H286" s="10" t="str">
        <f>IF(ABS(F286)&gt;=Threshold,"Yes","No")</f>
        <v>No</v>
      </c>
      <c r="I286" s="10" t="s">
        <v>18</v>
      </c>
    </row>
    <row r="287" spans="1:9">
      <c r="A287" s="10" t="s">
        <v>322</v>
      </c>
      <c r="B287" s="10" t="s">
        <v>55</v>
      </c>
      <c r="C287" s="10" t="s">
        <v>350</v>
      </c>
      <c r="D287" s="12">
        <f>SUMPRODUCT((Data!$A$2:$A$666=$A287)*(Data!$B$2:$B$666=$B287)*(Data!$C$2:$C$666=$C287)*(ISNUMBER(MATCH(Data!$D$2:$D$666,BaseMonths,0)))*Data!$E$2:$E$666)</f>
        <v>21991.41</v>
      </c>
      <c r="E287" s="12">
        <f>SUMPRODUCT((Data!$A$2:$A$666=$A287)*(Data!$B$2:$B$666=$B287)*(Data!$C$2:$C$666=$C287)*(ISNUMBER(MATCH(Data!$D$2:$D$666,CurrentMonths,0)))*Data!$E$2:$E$666)</f>
        <v>20132.22</v>
      </c>
      <c r="F287" s="12">
        <f>E287-D287</f>
        <v>-1859.19</v>
      </c>
      <c r="G287" s="13">
        <f>IF(D287=0,"",F287/ABS(D287))</f>
        <v>-0.0845416460336104</v>
      </c>
      <c r="H287" s="10" t="str">
        <f>IF(ABS(F287)&gt;=Threshold,"Yes","No")</f>
        <v>No</v>
      </c>
      <c r="I287" s="10" t="s">
        <v>18</v>
      </c>
    </row>
    <row r="288" spans="1:9">
      <c r="A288" s="10" t="s">
        <v>305</v>
      </c>
      <c r="B288" s="10" t="s">
        <v>67</v>
      </c>
      <c r="C288" s="10" t="s">
        <v>307</v>
      </c>
      <c r="D288" s="12">
        <f>SUMPRODUCT((Data!$A$2:$A$666=$A288)*(Data!$B$2:$B$666=$B288)*(Data!$C$2:$C$666=$C288)*(ISNUMBER(MATCH(Data!$D$2:$D$666,BaseMonths,0)))*Data!$E$2:$E$666)</f>
        <v>1857.48</v>
      </c>
      <c r="E288" s="12">
        <f>SUMPRODUCT((Data!$A$2:$A$666=$A288)*(Data!$B$2:$B$666=$B288)*(Data!$C$2:$C$666=$C288)*(ISNUMBER(MATCH(Data!$D$2:$D$666,CurrentMonths,0)))*Data!$E$2:$E$666)</f>
        <v>0.0</v>
      </c>
      <c r="F288" s="12">
        <f>E288-D288</f>
        <v>-1857.48</v>
      </c>
      <c r="G288" s="13">
        <f>IF(D288=0,"",F288/ABS(D288))</f>
        <v>-1.0</v>
      </c>
      <c r="H288" s="10" t="str">
        <f>IF(ABS(F288)&gt;=Threshold,"Yes","No")</f>
        <v>No</v>
      </c>
      <c r="I288" s="10" t="s">
        <v>18</v>
      </c>
    </row>
    <row r="289" spans="1:9">
      <c r="A289" s="10" t="s">
        <v>276</v>
      </c>
      <c r="B289" s="10" t="s">
        <v>67</v>
      </c>
      <c r="C289" s="10" t="s">
        <v>279</v>
      </c>
      <c r="D289" s="12">
        <f>SUMPRODUCT((Data!$A$2:$A$666=$A289)*(Data!$B$2:$B$666=$B289)*(Data!$C$2:$C$666=$C289)*(ISNUMBER(MATCH(Data!$D$2:$D$666,BaseMonths,0)))*Data!$E$2:$E$666)</f>
        <v>6249.05</v>
      </c>
      <c r="E289" s="12">
        <f>SUMPRODUCT((Data!$A$2:$A$666=$A289)*(Data!$B$2:$B$666=$B289)*(Data!$C$2:$C$666=$C289)*(ISNUMBER(MATCH(Data!$D$2:$D$666,CurrentMonths,0)))*Data!$E$2:$E$666)</f>
        <v>4402.27</v>
      </c>
      <c r="F289" s="12">
        <f>E289-D289</f>
        <v>-1846.78</v>
      </c>
      <c r="G289" s="13">
        <f>IF(D289=0,"",F289/ABS(D289))</f>
        <v>-0.29552972051751863</v>
      </c>
      <c r="H289" s="10" t="str">
        <f>IF(ABS(F289)&gt;=Threshold,"Yes","No")</f>
        <v>No</v>
      </c>
      <c r="I289" s="10" t="s">
        <v>18</v>
      </c>
    </row>
    <row r="290" spans="1:9">
      <c r="A290" s="10" t="s">
        <v>266</v>
      </c>
      <c r="B290" s="10" t="s">
        <v>34</v>
      </c>
      <c r="C290" s="10" t="s">
        <v>268</v>
      </c>
      <c r="D290" s="12">
        <f>SUMPRODUCT((Data!$A$2:$A$666=$A290)*(Data!$B$2:$B$666=$B290)*(Data!$C$2:$C$666=$C290)*(ISNUMBER(MATCH(Data!$D$2:$D$666,BaseMonths,0)))*Data!$E$2:$E$666)</f>
        <v>264611.63</v>
      </c>
      <c r="E290" s="12">
        <f>SUMPRODUCT((Data!$A$2:$A$666=$A290)*(Data!$B$2:$B$666=$B290)*(Data!$C$2:$C$666=$C290)*(ISNUMBER(MATCH(Data!$D$2:$D$666,CurrentMonths,0)))*Data!$E$2:$E$666)</f>
        <v>262882.14</v>
      </c>
      <c r="F290" s="12">
        <f>E290-D290</f>
        <v>-1729.49</v>
      </c>
      <c r="G290" s="13">
        <f>IF(D290=0,"",F290/ABS(D290))</f>
        <v>-0.006535956110470277</v>
      </c>
      <c r="H290" s="10" t="str">
        <f>IF(ABS(F290)&gt;=Threshold,"Yes","No")</f>
        <v>No</v>
      </c>
      <c r="I290" s="10" t="s">
        <v>18</v>
      </c>
    </row>
    <row r="291" spans="1:9">
      <c r="A291" s="10" t="s">
        <v>54</v>
      </c>
      <c r="B291" s="10" t="s">
        <v>55</v>
      </c>
      <c r="C291" s="10" t="s">
        <v>60</v>
      </c>
      <c r="D291" s="12">
        <f>SUMPRODUCT((Data!$A$2:$A$666=$A291)*(Data!$B$2:$B$666=$B291)*(Data!$C$2:$C$666=$C291)*(ISNUMBER(MATCH(Data!$D$2:$D$666,BaseMonths,0)))*Data!$E$2:$E$666)</f>
        <v>3865.71</v>
      </c>
      <c r="E291" s="12">
        <f>SUMPRODUCT((Data!$A$2:$A$666=$A291)*(Data!$B$2:$B$666=$B291)*(Data!$C$2:$C$666=$C291)*(ISNUMBER(MATCH(Data!$D$2:$D$666,CurrentMonths,0)))*Data!$E$2:$E$666)</f>
        <v>2145.58</v>
      </c>
      <c r="F291" s="12">
        <f>E291-D291</f>
        <v>-1720.13</v>
      </c>
      <c r="G291" s="13">
        <f>IF(D291=0,"",F291/ABS(D291))</f>
        <v>-0.44497129893344306</v>
      </c>
      <c r="H291" s="10" t="str">
        <f>IF(ABS(F291)&gt;=Threshold,"Yes","No")</f>
        <v>No</v>
      </c>
      <c r="I291" s="10" t="s">
        <v>18</v>
      </c>
    </row>
    <row r="292" spans="1:9">
      <c r="A292" s="10" t="s">
        <v>140</v>
      </c>
      <c r="B292" s="10" t="s">
        <v>67</v>
      </c>
      <c r="C292" s="10" t="s">
        <v>142</v>
      </c>
      <c r="D292" s="12">
        <f>SUMPRODUCT((Data!$A$2:$A$666=$A292)*(Data!$B$2:$B$666=$B292)*(Data!$C$2:$C$666=$C292)*(ISNUMBER(MATCH(Data!$D$2:$D$666,BaseMonths,0)))*Data!$E$2:$E$666)</f>
        <v>505.64</v>
      </c>
      <c r="E292" s="12">
        <f>SUMPRODUCT((Data!$A$2:$A$666=$A292)*(Data!$B$2:$B$666=$B292)*(Data!$C$2:$C$666=$C292)*(ISNUMBER(MATCH(Data!$D$2:$D$666,CurrentMonths,0)))*Data!$E$2:$E$666)</f>
        <v>-1087.87</v>
      </c>
      <c r="F292" s="12">
        <f>E292-D292</f>
        <v>-1593.51</v>
      </c>
      <c r="G292" s="13">
        <f>IF(D292=0,"",F292/ABS(D292))</f>
        <v>-3.15147140257891</v>
      </c>
      <c r="H292" s="10" t="str">
        <f>IF(ABS(F292)&gt;=Threshold,"Yes","No")</f>
        <v>No</v>
      </c>
      <c r="I292" s="10" t="s">
        <v>18</v>
      </c>
    </row>
    <row r="293" spans="1:9">
      <c r="A293" s="10" t="s">
        <v>198</v>
      </c>
      <c r="B293" s="10" t="s">
        <v>34</v>
      </c>
      <c r="C293" s="10" t="s">
        <v>199</v>
      </c>
      <c r="D293" s="12">
        <f>SUMPRODUCT((Data!$A$2:$A$666=$A293)*(Data!$B$2:$B$666=$B293)*(Data!$C$2:$C$666=$C293)*(ISNUMBER(MATCH(Data!$D$2:$D$666,BaseMonths,0)))*Data!$E$2:$E$666)</f>
        <v>132.94</v>
      </c>
      <c r="E293" s="12">
        <f>SUMPRODUCT((Data!$A$2:$A$666=$A293)*(Data!$B$2:$B$666=$B293)*(Data!$C$2:$C$666=$C293)*(ISNUMBER(MATCH(Data!$D$2:$D$666,CurrentMonths,0)))*Data!$E$2:$E$666)</f>
        <v>1700.75</v>
      </c>
      <c r="F293" s="12">
        <f>E293-D293</f>
        <v>1567.81</v>
      </c>
      <c r="G293" s="13">
        <f>IF(D293=0,"",F293/ABS(D293))</f>
        <v>11.793365428012637</v>
      </c>
      <c r="H293" s="10" t="str">
        <f>IF(ABS(F293)&gt;=Threshold,"Yes","No")</f>
        <v>No</v>
      </c>
      <c r="I293" s="10" t="s">
        <v>18</v>
      </c>
    </row>
    <row r="294" spans="1:9">
      <c r="A294" s="10" t="s">
        <v>181</v>
      </c>
      <c r="B294" s="10" t="s">
        <v>34</v>
      </c>
      <c r="C294" s="10" t="s">
        <v>195</v>
      </c>
      <c r="D294" s="12">
        <f>SUMPRODUCT((Data!$A$2:$A$666=$A294)*(Data!$B$2:$B$666=$B294)*(Data!$C$2:$C$666=$C294)*(ISNUMBER(MATCH(Data!$D$2:$D$666,BaseMonths,0)))*Data!$E$2:$E$666)</f>
        <v>20245.51</v>
      </c>
      <c r="E294" s="12">
        <f>SUMPRODUCT((Data!$A$2:$A$666=$A294)*(Data!$B$2:$B$666=$B294)*(Data!$C$2:$C$666=$C294)*(ISNUMBER(MATCH(Data!$D$2:$D$666,CurrentMonths,0)))*Data!$E$2:$E$666)</f>
        <v>18779.13</v>
      </c>
      <c r="F294" s="12">
        <f>E294-D294</f>
        <v>-1466.38</v>
      </c>
      <c r="G294" s="13">
        <f>IF(D294=0,"",F294/ABS(D294))</f>
        <v>-0.0724298869230758</v>
      </c>
      <c r="H294" s="10" t="str">
        <f>IF(ABS(F294)&gt;=Threshold,"Yes","No")</f>
        <v>No</v>
      </c>
      <c r="I294" s="10" t="s">
        <v>18</v>
      </c>
    </row>
    <row r="295" spans="1:9">
      <c r="A295" s="10" t="s">
        <v>322</v>
      </c>
      <c r="B295" s="10" t="s">
        <v>55</v>
      </c>
      <c r="C295" s="10" t="s">
        <v>378</v>
      </c>
      <c r="D295" s="12">
        <f>SUMPRODUCT((Data!$A$2:$A$666=$A295)*(Data!$B$2:$B$666=$B295)*(Data!$C$2:$C$666=$C295)*(ISNUMBER(MATCH(Data!$D$2:$D$666,BaseMonths,0)))*Data!$E$2:$E$666)</f>
        <v>3186.06</v>
      </c>
      <c r="E295" s="12">
        <f>SUMPRODUCT((Data!$A$2:$A$666=$A295)*(Data!$B$2:$B$666=$B295)*(Data!$C$2:$C$666=$C295)*(ISNUMBER(MATCH(Data!$D$2:$D$666,CurrentMonths,0)))*Data!$E$2:$E$666)</f>
        <v>4527.57</v>
      </c>
      <c r="F295" s="12">
        <f>E295-D295</f>
        <v>1341.51</v>
      </c>
      <c r="G295" s="13">
        <f>IF(D295=0,"",F295/ABS(D295))</f>
        <v>0.42105610063840604</v>
      </c>
      <c r="H295" s="10" t="str">
        <f>IF(ABS(F295)&gt;=Threshold,"Yes","No")</f>
        <v>No</v>
      </c>
      <c r="I295" s="10" t="s">
        <v>18</v>
      </c>
    </row>
    <row r="296" spans="1:9">
      <c r="A296" s="10" t="s">
        <v>276</v>
      </c>
      <c r="B296" s="10" t="s">
        <v>67</v>
      </c>
      <c r="C296" s="10" t="s">
        <v>283</v>
      </c>
      <c r="D296" s="12">
        <f>SUMPRODUCT((Data!$A$2:$A$666=$A296)*(Data!$B$2:$B$666=$B296)*(Data!$C$2:$C$666=$C296)*(ISNUMBER(MATCH(Data!$D$2:$D$666,BaseMonths,0)))*Data!$E$2:$E$666)</f>
        <v>1326.01</v>
      </c>
      <c r="E296" s="12">
        <f>SUMPRODUCT((Data!$A$2:$A$666=$A296)*(Data!$B$2:$B$666=$B296)*(Data!$C$2:$C$666=$C296)*(ISNUMBER(MATCH(Data!$D$2:$D$666,CurrentMonths,0)))*Data!$E$2:$E$666)</f>
        <v>0.0</v>
      </c>
      <c r="F296" s="12">
        <f>E296-D296</f>
        <v>-1326.01</v>
      </c>
      <c r="G296" s="13">
        <f>IF(D296=0,"",F296/ABS(D296))</f>
        <v>-1.0</v>
      </c>
      <c r="H296" s="10" t="str">
        <f>IF(ABS(F296)&gt;=Threshold,"Yes","No")</f>
        <v>No</v>
      </c>
      <c r="I296" s="10" t="s">
        <v>18</v>
      </c>
    </row>
    <row r="297" spans="1:9">
      <c r="A297" s="10" t="s">
        <v>213</v>
      </c>
      <c r="B297" s="10" t="s">
        <v>67</v>
      </c>
      <c r="C297" s="10" t="s">
        <v>225</v>
      </c>
      <c r="D297" s="12">
        <f>SUMPRODUCT((Data!$A$2:$A$666=$A297)*(Data!$B$2:$B$666=$B297)*(Data!$C$2:$C$666=$C297)*(ISNUMBER(MATCH(Data!$D$2:$D$666,BaseMonths,0)))*Data!$E$2:$E$666)</f>
        <v>8739.72</v>
      </c>
      <c r="E297" s="12">
        <f>SUMPRODUCT((Data!$A$2:$A$666=$A297)*(Data!$B$2:$B$666=$B297)*(Data!$C$2:$C$666=$C297)*(ISNUMBER(MATCH(Data!$D$2:$D$666,CurrentMonths,0)))*Data!$E$2:$E$666)</f>
        <v>7413.8</v>
      </c>
      <c r="F297" s="12">
        <f>E297-D297</f>
        <v>-1325.92</v>
      </c>
      <c r="G297" s="13">
        <f>IF(D297=0,"",F297/ABS(D297))</f>
        <v>-0.1517119541587145</v>
      </c>
      <c r="H297" s="10" t="str">
        <f>IF(ABS(F297)&gt;=Threshold,"Yes","No")</f>
        <v>No</v>
      </c>
      <c r="I297" s="10" t="s">
        <v>18</v>
      </c>
    </row>
    <row r="298" spans="1:9">
      <c r="A298" s="10" t="s">
        <v>322</v>
      </c>
      <c r="B298" s="10" t="s">
        <v>55</v>
      </c>
      <c r="C298" s="10" t="s">
        <v>369</v>
      </c>
      <c r="D298" s="12">
        <f>SUMPRODUCT((Data!$A$2:$A$666=$A298)*(Data!$B$2:$B$666=$B298)*(Data!$C$2:$C$666=$C298)*(ISNUMBER(MATCH(Data!$D$2:$D$666,BaseMonths,0)))*Data!$E$2:$E$666)</f>
        <v>0.0</v>
      </c>
      <c r="E298" s="12">
        <f>SUMPRODUCT((Data!$A$2:$A$666=$A298)*(Data!$B$2:$B$666=$B298)*(Data!$C$2:$C$666=$C298)*(ISNUMBER(MATCH(Data!$D$2:$D$666,CurrentMonths,0)))*Data!$E$2:$E$666)</f>
        <v>1219.12</v>
      </c>
      <c r="F298" s="12">
        <f>E298-D298</f>
        <v>1219.12</v>
      </c>
      <c r="G298" s="13">
        <f>IF(D298=0,"",F298/ABS(D298))</f>
        <v/>
      </c>
      <c r="H298" s="10" t="str">
        <f>IF(ABS(F298)&gt;=Threshold,"Yes","No")</f>
        <v>No</v>
      </c>
      <c r="I298" s="10" t="s">
        <v>18</v>
      </c>
    </row>
    <row r="299" spans="1:9">
      <c r="A299" s="10" t="s">
        <v>88</v>
      </c>
      <c r="B299" s="10" t="s">
        <v>55</v>
      </c>
      <c r="C299" s="10" t="s">
        <v>89</v>
      </c>
      <c r="D299" s="12">
        <f>SUMPRODUCT((Data!$A$2:$A$666=$A299)*(Data!$B$2:$B$666=$B299)*(Data!$C$2:$C$666=$C299)*(ISNUMBER(MATCH(Data!$D$2:$D$666,BaseMonths,0)))*Data!$E$2:$E$666)</f>
        <v>0.0</v>
      </c>
      <c r="E299" s="12">
        <f>SUMPRODUCT((Data!$A$2:$A$666=$A299)*(Data!$B$2:$B$666=$B299)*(Data!$C$2:$C$666=$C299)*(ISNUMBER(MATCH(Data!$D$2:$D$666,CurrentMonths,0)))*Data!$E$2:$E$666)</f>
        <v>1048.43</v>
      </c>
      <c r="F299" s="12">
        <f>E299-D299</f>
        <v>1048.43</v>
      </c>
      <c r="G299" s="13">
        <f>IF(D299=0,"",F299/ABS(D299))</f>
        <v/>
      </c>
      <c r="H299" s="10" t="str">
        <f>IF(ABS(F299)&gt;=Threshold,"Yes","No")</f>
        <v>No</v>
      </c>
      <c r="I299" s="10" t="s">
        <v>18</v>
      </c>
    </row>
    <row r="300" spans="1:9">
      <c r="A300" s="10" t="s">
        <v>256</v>
      </c>
      <c r="B300" s="10" t="s">
        <v>67</v>
      </c>
      <c r="C300" s="10" t="s">
        <v>260</v>
      </c>
      <c r="D300" s="12">
        <f>SUMPRODUCT((Data!$A$2:$A$666=$A300)*(Data!$B$2:$B$666=$B300)*(Data!$C$2:$C$666=$C300)*(ISNUMBER(MATCH(Data!$D$2:$D$666,BaseMonths,0)))*Data!$E$2:$E$666)</f>
        <v>863.48</v>
      </c>
      <c r="E300" s="12">
        <f>SUMPRODUCT((Data!$A$2:$A$666=$A300)*(Data!$B$2:$B$666=$B300)*(Data!$C$2:$C$666=$C300)*(ISNUMBER(MATCH(Data!$D$2:$D$666,CurrentMonths,0)))*Data!$E$2:$E$666)</f>
        <v>1881.97</v>
      </c>
      <c r="F300" s="12">
        <f>E300-D300</f>
        <v>1018.49</v>
      </c>
      <c r="G300" s="13">
        <f>IF(D300=0,"",F300/ABS(D300))</f>
        <v>1.1795177653217215</v>
      </c>
      <c r="H300" s="10" t="str">
        <f>IF(ABS(F300)&gt;=Threshold,"Yes","No")</f>
        <v>No</v>
      </c>
      <c r="I300" s="10" t="s">
        <v>18</v>
      </c>
    </row>
    <row r="301" spans="1:9">
      <c r="A301" s="10" t="s">
        <v>322</v>
      </c>
      <c r="B301" s="10" t="s">
        <v>55</v>
      </c>
      <c r="C301" s="10" t="s">
        <v>411</v>
      </c>
      <c r="D301" s="12">
        <f>SUMPRODUCT((Data!$A$2:$A$666=$A301)*(Data!$B$2:$B$666=$B301)*(Data!$C$2:$C$666=$C301)*(ISNUMBER(MATCH(Data!$D$2:$D$666,BaseMonths,0)))*Data!$E$2:$E$666)</f>
        <v>632.65</v>
      </c>
      <c r="E301" s="12">
        <f>SUMPRODUCT((Data!$A$2:$A$666=$A301)*(Data!$B$2:$B$666=$B301)*(Data!$C$2:$C$666=$C301)*(ISNUMBER(MATCH(Data!$D$2:$D$666,CurrentMonths,0)))*Data!$E$2:$E$666)</f>
        <v>1537.81</v>
      </c>
      <c r="F301" s="12">
        <f>E301-D301</f>
        <v>905.16</v>
      </c>
      <c r="G301" s="13">
        <f>IF(D301=0,"",F301/ABS(D301))</f>
        <v>1.4307436971469216</v>
      </c>
      <c r="H301" s="10" t="str">
        <f>IF(ABS(F301)&gt;=Threshold,"Yes","No")</f>
        <v>No</v>
      </c>
      <c r="I301" s="10" t="s">
        <v>18</v>
      </c>
    </row>
    <row r="302" spans="1:9">
      <c r="A302" s="10" t="s">
        <v>70</v>
      </c>
      <c r="B302" s="10" t="s">
        <v>55</v>
      </c>
      <c r="C302" s="10" t="s">
        <v>80</v>
      </c>
      <c r="D302" s="12">
        <f>SUMPRODUCT((Data!$A$2:$A$666=$A302)*(Data!$B$2:$B$666=$B302)*(Data!$C$2:$C$666=$C302)*(ISNUMBER(MATCH(Data!$D$2:$D$666,BaseMonths,0)))*Data!$E$2:$E$666)</f>
        <v>857.81</v>
      </c>
      <c r="E302" s="12">
        <f>SUMPRODUCT((Data!$A$2:$A$666=$A302)*(Data!$B$2:$B$666=$B302)*(Data!$C$2:$C$666=$C302)*(ISNUMBER(MATCH(Data!$D$2:$D$666,CurrentMonths,0)))*Data!$E$2:$E$666)</f>
        <v>0.0</v>
      </c>
      <c r="F302" s="12">
        <f>E302-D302</f>
        <v>-857.81</v>
      </c>
      <c r="G302" s="13">
        <f>IF(D302=0,"",F302/ABS(D302))</f>
        <v>-1.0</v>
      </c>
      <c r="H302" s="10" t="str">
        <f>IF(ABS(F302)&gt;=Threshold,"Yes","No")</f>
        <v>No</v>
      </c>
      <c r="I302" s="10" t="s">
        <v>18</v>
      </c>
    </row>
    <row r="303" spans="1:9">
      <c r="A303" s="10" t="s">
        <v>104</v>
      </c>
      <c r="B303" s="10" t="s">
        <v>67</v>
      </c>
      <c r="C303" s="10" t="s">
        <v>105</v>
      </c>
      <c r="D303" s="12">
        <f>SUMPRODUCT((Data!$A$2:$A$666=$A303)*(Data!$B$2:$B$666=$B303)*(Data!$C$2:$C$666=$C303)*(ISNUMBER(MATCH(Data!$D$2:$D$666,BaseMonths,0)))*Data!$E$2:$E$666)</f>
        <v>17934.28</v>
      </c>
      <c r="E303" s="12">
        <f>SUMPRODUCT((Data!$A$2:$A$666=$A303)*(Data!$B$2:$B$666=$B303)*(Data!$C$2:$C$666=$C303)*(ISNUMBER(MATCH(Data!$D$2:$D$666,CurrentMonths,0)))*Data!$E$2:$E$666)</f>
        <v>17155.86</v>
      </c>
      <c r="F303" s="12">
        <f>E303-D303</f>
        <v>-778.42</v>
      </c>
      <c r="G303" s="13">
        <f>IF(D303=0,"",F303/ABS(D303))</f>
        <v>-0.04340402848622861</v>
      </c>
      <c r="H303" s="10" t="str">
        <f>IF(ABS(F303)&gt;=Threshold,"Yes","No")</f>
        <v>No</v>
      </c>
      <c r="I303" s="10" t="s">
        <v>18</v>
      </c>
    </row>
    <row r="304" spans="1:9">
      <c r="A304" s="10" t="s">
        <v>261</v>
      </c>
      <c r="B304" s="10" t="s">
        <v>67</v>
      </c>
      <c r="C304" s="10" t="s">
        <v>264</v>
      </c>
      <c r="D304" s="12">
        <f>SUMPRODUCT((Data!$A$2:$A$666=$A304)*(Data!$B$2:$B$666=$B304)*(Data!$C$2:$C$666=$C304)*(ISNUMBER(MATCH(Data!$D$2:$D$666,BaseMonths,0)))*Data!$E$2:$E$666)</f>
        <v>0.0</v>
      </c>
      <c r="E304" s="12">
        <f>SUMPRODUCT((Data!$A$2:$A$666=$A304)*(Data!$B$2:$B$666=$B304)*(Data!$C$2:$C$666=$C304)*(ISNUMBER(MATCH(Data!$D$2:$D$666,CurrentMonths,0)))*Data!$E$2:$E$666)</f>
        <v>663.85</v>
      </c>
      <c r="F304" s="12">
        <f>E304-D304</f>
        <v>663.85</v>
      </c>
      <c r="G304" s="13">
        <f>IF(D304=0,"",F304/ABS(D304))</f>
        <v/>
      </c>
      <c r="H304" s="10" t="str">
        <f>IF(ABS(F304)&gt;=Threshold,"Yes","No")</f>
        <v>No</v>
      </c>
      <c r="I304" s="10" t="s">
        <v>18</v>
      </c>
    </row>
    <row r="305" spans="1:9">
      <c r="A305" s="10" t="s">
        <v>100</v>
      </c>
      <c r="B305" s="10" t="s">
        <v>55</v>
      </c>
      <c r="C305" s="10" t="s">
        <v>103</v>
      </c>
      <c r="D305" s="12">
        <f>SUMPRODUCT((Data!$A$2:$A$666=$A305)*(Data!$B$2:$B$666=$B305)*(Data!$C$2:$C$666=$C305)*(ISNUMBER(MATCH(Data!$D$2:$D$666,BaseMonths,0)))*Data!$E$2:$E$666)</f>
        <v>300.38</v>
      </c>
      <c r="E305" s="12">
        <f>SUMPRODUCT((Data!$A$2:$A$666=$A305)*(Data!$B$2:$B$666=$B305)*(Data!$C$2:$C$666=$C305)*(ISNUMBER(MATCH(Data!$D$2:$D$666,CurrentMonths,0)))*Data!$E$2:$E$666)</f>
        <v>935.19</v>
      </c>
      <c r="F305" s="12">
        <f>E305-D305</f>
        <v>634.81</v>
      </c>
      <c r="G305" s="13">
        <f>IF(D305=0,"",F305/ABS(D305))</f>
        <v>2.113356415207404</v>
      </c>
      <c r="H305" s="10" t="str">
        <f>IF(ABS(F305)&gt;=Threshold,"Yes","No")</f>
        <v>No</v>
      </c>
      <c r="I305" s="10" t="s">
        <v>18</v>
      </c>
    </row>
    <row r="306" spans="1:9">
      <c r="A306" s="10" t="s">
        <v>300</v>
      </c>
      <c r="B306" s="10" t="s">
        <v>67</v>
      </c>
      <c r="C306" s="10" t="s">
        <v>301</v>
      </c>
      <c r="D306" s="12">
        <f>SUMPRODUCT((Data!$A$2:$A$666=$A306)*(Data!$B$2:$B$666=$B306)*(Data!$C$2:$C$666=$C306)*(ISNUMBER(MATCH(Data!$D$2:$D$666,BaseMonths,0)))*Data!$E$2:$E$666)</f>
        <v>2922.88</v>
      </c>
      <c r="E306" s="12">
        <f>SUMPRODUCT((Data!$A$2:$A$666=$A306)*(Data!$B$2:$B$666=$B306)*(Data!$C$2:$C$666=$C306)*(ISNUMBER(MATCH(Data!$D$2:$D$666,CurrentMonths,0)))*Data!$E$2:$E$666)</f>
        <v>2317.7</v>
      </c>
      <c r="F306" s="12">
        <f>E306-D306</f>
        <v>-605.18</v>
      </c>
      <c r="G306" s="13">
        <f>IF(D306=0,"",F306/ABS(D306))</f>
        <v>-0.2070492117363696</v>
      </c>
      <c r="H306" s="10" t="str">
        <f>IF(ABS(F306)&gt;=Threshold,"Yes","No")</f>
        <v>No</v>
      </c>
      <c r="I306" s="10" t="s">
        <v>18</v>
      </c>
    </row>
    <row r="307" spans="1:9">
      <c r="A307" s="10" t="s">
        <v>229</v>
      </c>
      <c r="B307" s="10" t="s">
        <v>67</v>
      </c>
      <c r="C307" s="10" t="s">
        <v>244</v>
      </c>
      <c r="D307" s="12">
        <f>SUMPRODUCT((Data!$A$2:$A$666=$A307)*(Data!$B$2:$B$666=$B307)*(Data!$C$2:$C$666=$C307)*(ISNUMBER(MATCH(Data!$D$2:$D$666,BaseMonths,0)))*Data!$E$2:$E$666)</f>
        <v>1257.31</v>
      </c>
      <c r="E307" s="12">
        <f>SUMPRODUCT((Data!$A$2:$A$666=$A307)*(Data!$B$2:$B$666=$B307)*(Data!$C$2:$C$666=$C307)*(ISNUMBER(MATCH(Data!$D$2:$D$666,CurrentMonths,0)))*Data!$E$2:$E$666)</f>
        <v>746.7</v>
      </c>
      <c r="F307" s="12">
        <f>E307-D307</f>
        <v>-510.61</v>
      </c>
      <c r="G307" s="13">
        <f>IF(D307=0,"",F307/ABS(D307))</f>
        <v>-0.4061130508784628</v>
      </c>
      <c r="H307" s="10" t="str">
        <f>IF(ABS(F307)&gt;=Threshold,"Yes","No")</f>
        <v>No</v>
      </c>
      <c r="I307" s="10" t="s">
        <v>18</v>
      </c>
    </row>
    <row r="308" spans="1:9">
      <c r="A308" s="10" t="s">
        <v>322</v>
      </c>
      <c r="B308" s="10" t="s">
        <v>55</v>
      </c>
      <c r="C308" s="10" t="s">
        <v>331</v>
      </c>
      <c r="D308" s="12">
        <f>SUMPRODUCT((Data!$A$2:$A$666=$A308)*(Data!$B$2:$B$666=$B308)*(Data!$C$2:$C$666=$C308)*(ISNUMBER(MATCH(Data!$D$2:$D$666,BaseMonths,0)))*Data!$E$2:$E$666)</f>
        <v>1477.97</v>
      </c>
      <c r="E308" s="12">
        <f>SUMPRODUCT((Data!$A$2:$A$666=$A308)*(Data!$B$2:$B$666=$B308)*(Data!$C$2:$C$666=$C308)*(ISNUMBER(MATCH(Data!$D$2:$D$666,CurrentMonths,0)))*Data!$E$2:$E$666)</f>
        <v>968.31</v>
      </c>
      <c r="F308" s="12">
        <f>E308-D308</f>
        <v>-509.66</v>
      </c>
      <c r="G308" s="13">
        <f>IF(D308=0,"",F308/ABS(D308))</f>
        <v>-0.34483785191850985</v>
      </c>
      <c r="H308" s="10" t="str">
        <f>IF(ABS(F308)&gt;=Threshold,"Yes","No")</f>
        <v>No</v>
      </c>
      <c r="I308" s="10" t="s">
        <v>18</v>
      </c>
    </row>
    <row r="309" spans="1:9">
      <c r="A309" s="10" t="s">
        <v>229</v>
      </c>
      <c r="B309" s="10" t="s">
        <v>67</v>
      </c>
      <c r="C309" s="10" t="s">
        <v>235</v>
      </c>
      <c r="D309" s="12">
        <f>SUMPRODUCT((Data!$A$2:$A$666=$A309)*(Data!$B$2:$B$666=$B309)*(Data!$C$2:$C$666=$C309)*(ISNUMBER(MATCH(Data!$D$2:$D$666,BaseMonths,0)))*Data!$E$2:$E$666)</f>
        <v>2836.84</v>
      </c>
      <c r="E309" s="12">
        <f>SUMPRODUCT((Data!$A$2:$A$666=$A309)*(Data!$B$2:$B$666=$B309)*(Data!$C$2:$C$666=$C309)*(ISNUMBER(MATCH(Data!$D$2:$D$666,CurrentMonths,0)))*Data!$E$2:$E$666)</f>
        <v>2370.99</v>
      </c>
      <c r="F309" s="12">
        <f>E309-D309</f>
        <v>-465.85</v>
      </c>
      <c r="G309" s="13">
        <f>IF(D309=0,"",F309/ABS(D309))</f>
        <v>-0.16421440758026537</v>
      </c>
      <c r="H309" s="10" t="str">
        <f>IF(ABS(F309)&gt;=Threshold,"Yes","No")</f>
        <v>No</v>
      </c>
      <c r="I309" s="10" t="s">
        <v>18</v>
      </c>
    </row>
    <row r="310" spans="1:9">
      <c r="A310" s="10" t="s">
        <v>229</v>
      </c>
      <c r="B310" s="10" t="s">
        <v>67</v>
      </c>
      <c r="C310" s="10" t="s">
        <v>230</v>
      </c>
      <c r="D310" s="12">
        <f>SUMPRODUCT((Data!$A$2:$A$666=$A310)*(Data!$B$2:$B$666=$B310)*(Data!$C$2:$C$666=$C310)*(ISNUMBER(MATCH(Data!$D$2:$D$666,BaseMonths,0)))*Data!$E$2:$E$666)</f>
        <v>493.63</v>
      </c>
      <c r="E310" s="12">
        <f>SUMPRODUCT((Data!$A$2:$A$666=$A310)*(Data!$B$2:$B$666=$B310)*(Data!$C$2:$C$666=$C310)*(ISNUMBER(MATCH(Data!$D$2:$D$666,CurrentMonths,0)))*Data!$E$2:$E$666)</f>
        <v>959.45</v>
      </c>
      <c r="F310" s="12">
        <f>E310-D310</f>
        <v>465.82</v>
      </c>
      <c r="G310" s="13">
        <f>IF(D310=0,"",F310/ABS(D310))</f>
        <v>0.9436622571561696</v>
      </c>
      <c r="H310" s="10" t="str">
        <f>IF(ABS(F310)&gt;=Threshold,"Yes","No")</f>
        <v>No</v>
      </c>
      <c r="I310" s="10" t="s">
        <v>18</v>
      </c>
    </row>
    <row r="311" spans="1:9">
      <c r="A311" s="10" t="s">
        <v>111</v>
      </c>
      <c r="B311" s="10" t="s">
        <v>67</v>
      </c>
      <c r="C311" s="10" t="s">
        <v>113</v>
      </c>
      <c r="D311" s="12">
        <f>SUMPRODUCT((Data!$A$2:$A$666=$A311)*(Data!$B$2:$B$666=$B311)*(Data!$C$2:$C$666=$C311)*(ISNUMBER(MATCH(Data!$D$2:$D$666,BaseMonths,0)))*Data!$E$2:$E$666)</f>
        <v>21607.42</v>
      </c>
      <c r="E311" s="12">
        <f>SUMPRODUCT((Data!$A$2:$A$666=$A311)*(Data!$B$2:$B$666=$B311)*(Data!$C$2:$C$666=$C311)*(ISNUMBER(MATCH(Data!$D$2:$D$666,CurrentMonths,0)))*Data!$E$2:$E$666)</f>
        <v>21164.7</v>
      </c>
      <c r="F311" s="12">
        <f>E311-D311</f>
        <v>-442.72</v>
      </c>
      <c r="G311" s="13">
        <f>IF(D311=0,"",F311/ABS(D311))</f>
        <v>-0.02048925785679179</v>
      </c>
      <c r="H311" s="10" t="str">
        <f>IF(ABS(F311)&gt;=Threshold,"Yes","No")</f>
        <v>No</v>
      </c>
      <c r="I311" s="10" t="s">
        <v>18</v>
      </c>
    </row>
    <row r="312" spans="1:9">
      <c r="A312" s="10" t="s">
        <v>229</v>
      </c>
      <c r="B312" s="10" t="s">
        <v>67</v>
      </c>
      <c r="C312" s="10" t="s">
        <v>236</v>
      </c>
      <c r="D312" s="12">
        <f>SUMPRODUCT((Data!$A$2:$A$666=$A312)*(Data!$B$2:$B$666=$B312)*(Data!$C$2:$C$666=$C312)*(ISNUMBER(MATCH(Data!$D$2:$D$666,BaseMonths,0)))*Data!$E$2:$E$666)</f>
        <v>133.84</v>
      </c>
      <c r="E312" s="12">
        <f>SUMPRODUCT((Data!$A$2:$A$666=$A312)*(Data!$B$2:$B$666=$B312)*(Data!$C$2:$C$666=$C312)*(ISNUMBER(MATCH(Data!$D$2:$D$666,CurrentMonths,0)))*Data!$E$2:$E$666)</f>
        <v>566.68</v>
      </c>
      <c r="F312" s="12">
        <f>E312-D312</f>
        <v>432.84</v>
      </c>
      <c r="G312" s="13">
        <f>IF(D312=0,"",F312/ABS(D312))</f>
        <v>3.2340107591153613</v>
      </c>
      <c r="H312" s="10" t="str">
        <f>IF(ABS(F312)&gt;=Threshold,"Yes","No")</f>
        <v>No</v>
      </c>
      <c r="I312" s="10" t="s">
        <v>18</v>
      </c>
    </row>
    <row r="313" spans="1:9">
      <c r="A313" s="10" t="s">
        <v>213</v>
      </c>
      <c r="B313" s="10" t="s">
        <v>67</v>
      </c>
      <c r="C313" s="10" t="s">
        <v>216</v>
      </c>
      <c r="D313" s="12">
        <f>SUMPRODUCT((Data!$A$2:$A$666=$A313)*(Data!$B$2:$B$666=$B313)*(Data!$C$2:$C$666=$C313)*(ISNUMBER(MATCH(Data!$D$2:$D$666,BaseMonths,0)))*Data!$E$2:$E$666)</f>
        <v>0.0</v>
      </c>
      <c r="E313" s="12">
        <f>SUMPRODUCT((Data!$A$2:$A$666=$A313)*(Data!$B$2:$B$666=$B313)*(Data!$C$2:$C$666=$C313)*(ISNUMBER(MATCH(Data!$D$2:$D$666,CurrentMonths,0)))*Data!$E$2:$E$666)</f>
        <v>420.08</v>
      </c>
      <c r="F313" s="12">
        <f>E313-D313</f>
        <v>420.08</v>
      </c>
      <c r="G313" s="13">
        <f>IF(D313=0,"",F313/ABS(D313))</f>
        <v/>
      </c>
      <c r="H313" s="10" t="str">
        <f>IF(ABS(F313)&gt;=Threshold,"Yes","No")</f>
        <v>No</v>
      </c>
      <c r="I313" s="10" t="s">
        <v>18</v>
      </c>
    </row>
    <row r="314" spans="1:9">
      <c r="A314" s="10" t="s">
        <v>322</v>
      </c>
      <c r="B314" s="10" t="s">
        <v>55</v>
      </c>
      <c r="C314" s="10" t="s">
        <v>349</v>
      </c>
      <c r="D314" s="12">
        <f>SUMPRODUCT((Data!$A$2:$A$666=$A314)*(Data!$B$2:$B$666=$B314)*(Data!$C$2:$C$666=$C314)*(ISNUMBER(MATCH(Data!$D$2:$D$666,BaseMonths,0)))*Data!$E$2:$E$666)</f>
        <v>4801.6</v>
      </c>
      <c r="E314" s="12">
        <f>SUMPRODUCT((Data!$A$2:$A$666=$A314)*(Data!$B$2:$B$666=$B314)*(Data!$C$2:$C$666=$C314)*(ISNUMBER(MATCH(Data!$D$2:$D$666,CurrentMonths,0)))*Data!$E$2:$E$666)</f>
        <v>4385.58</v>
      </c>
      <c r="F314" s="12">
        <f>E314-D314</f>
        <v>-416.02</v>
      </c>
      <c r="G314" s="13">
        <f>IF(D314=0,"",F314/ABS(D314))</f>
        <v>-0.08664195268243918</v>
      </c>
      <c r="H314" s="10" t="str">
        <f>IF(ABS(F314)&gt;=Threshold,"Yes","No")</f>
        <v>No</v>
      </c>
      <c r="I314" s="10" t="s">
        <v>18</v>
      </c>
    </row>
    <row r="315" spans="1:9">
      <c r="A315" s="10" t="s">
        <v>266</v>
      </c>
      <c r="B315" s="10" t="s">
        <v>34</v>
      </c>
      <c r="C315" s="10" t="s">
        <v>272</v>
      </c>
      <c r="D315" s="12">
        <f>SUMPRODUCT((Data!$A$2:$A$666=$A315)*(Data!$B$2:$B$666=$B315)*(Data!$C$2:$C$666=$C315)*(ISNUMBER(MATCH(Data!$D$2:$D$666,BaseMonths,0)))*Data!$E$2:$E$666)</f>
        <v>7939.04</v>
      </c>
      <c r="E315" s="12">
        <f>SUMPRODUCT((Data!$A$2:$A$666=$A315)*(Data!$B$2:$B$666=$B315)*(Data!$C$2:$C$666=$C315)*(ISNUMBER(MATCH(Data!$D$2:$D$666,CurrentMonths,0)))*Data!$E$2:$E$666)</f>
        <v>7542.74</v>
      </c>
      <c r="F315" s="12">
        <f>E315-D315</f>
        <v>-396.3</v>
      </c>
      <c r="G315" s="13">
        <f>IF(D315=0,"",F315/ABS(D315))</f>
        <v>-0.04991787420141478</v>
      </c>
      <c r="H315" s="10" t="str">
        <f>IF(ABS(F315)&gt;=Threshold,"Yes","No")</f>
        <v>No</v>
      </c>
      <c r="I315" s="10" t="s">
        <v>18</v>
      </c>
    </row>
    <row r="316" spans="1:9">
      <c r="A316" s="10" t="s">
        <v>169</v>
      </c>
      <c r="B316" s="10" t="s">
        <v>67</v>
      </c>
      <c r="C316" s="10" t="s">
        <v>172</v>
      </c>
      <c r="D316" s="12">
        <f>SUMPRODUCT((Data!$A$2:$A$666=$A316)*(Data!$B$2:$B$666=$B316)*(Data!$C$2:$C$666=$C316)*(ISNUMBER(MATCH(Data!$D$2:$D$666,BaseMonths,0)))*Data!$E$2:$E$666)</f>
        <v>14574.3</v>
      </c>
      <c r="E316" s="12">
        <f>SUMPRODUCT((Data!$A$2:$A$666=$A316)*(Data!$B$2:$B$666=$B316)*(Data!$C$2:$C$666=$C316)*(ISNUMBER(MATCH(Data!$D$2:$D$666,CurrentMonths,0)))*Data!$E$2:$E$666)</f>
        <v>14275.69</v>
      </c>
      <c r="F316" s="12">
        <f>E316-D316</f>
        <v>-298.61</v>
      </c>
      <c r="G316" s="13">
        <f>IF(D316=0,"",F316/ABS(D316))</f>
        <v>-0.02048880563732049</v>
      </c>
      <c r="H316" s="10" t="str">
        <f>IF(ABS(F316)&gt;=Threshold,"Yes","No")</f>
        <v>No</v>
      </c>
      <c r="I316" s="10" t="s">
        <v>18</v>
      </c>
    </row>
    <row r="317" spans="1:9">
      <c r="A317" s="10" t="s">
        <v>322</v>
      </c>
      <c r="B317" s="10" t="s">
        <v>55</v>
      </c>
      <c r="C317" s="10" t="s">
        <v>400</v>
      </c>
      <c r="D317" s="12">
        <f>SUMPRODUCT((Data!$A$2:$A$666=$A317)*(Data!$B$2:$B$666=$B317)*(Data!$C$2:$C$666=$C317)*(ISNUMBER(MATCH(Data!$D$2:$D$666,BaseMonths,0)))*Data!$E$2:$E$666)</f>
        <v>8475.69</v>
      </c>
      <c r="E317" s="12">
        <f>SUMPRODUCT((Data!$A$2:$A$666=$A317)*(Data!$B$2:$B$666=$B317)*(Data!$C$2:$C$666=$C317)*(ISNUMBER(MATCH(Data!$D$2:$D$666,CurrentMonths,0)))*Data!$E$2:$E$666)</f>
        <v>8253.62</v>
      </c>
      <c r="F317" s="12">
        <f>E317-D317</f>
        <v>-222.07</v>
      </c>
      <c r="G317" s="13">
        <f>IF(D317=0,"",F317/ABS(D317))</f>
        <v>-0.02620081668867077</v>
      </c>
      <c r="H317" s="10" t="str">
        <f>IF(ABS(F317)&gt;=Threshold,"Yes","No")</f>
        <v>No</v>
      </c>
      <c r="I317" s="10" t="s">
        <v>18</v>
      </c>
    </row>
    <row r="318" spans="1:9">
      <c r="A318" s="10" t="s">
        <v>152</v>
      </c>
      <c r="B318" s="10" t="s">
        <v>34</v>
      </c>
      <c r="C318" s="10" t="s">
        <v>158</v>
      </c>
      <c r="D318" s="12">
        <f>SUMPRODUCT((Data!$A$2:$A$666=$A318)*(Data!$B$2:$B$666=$B318)*(Data!$C$2:$C$666=$C318)*(ISNUMBER(MATCH(Data!$D$2:$D$666,BaseMonths,0)))*Data!$E$2:$E$666)</f>
        <v>0.0</v>
      </c>
      <c r="E318" s="12">
        <f>SUMPRODUCT((Data!$A$2:$A$666=$A318)*(Data!$B$2:$B$666=$B318)*(Data!$C$2:$C$666=$C318)*(ISNUMBER(MATCH(Data!$D$2:$D$666,CurrentMonths,0)))*Data!$E$2:$E$666)</f>
        <v>152.12</v>
      </c>
      <c r="F318" s="12">
        <f>E318-D318</f>
        <v>152.12</v>
      </c>
      <c r="G318" s="13">
        <f>IF(D318=0,"",F318/ABS(D318))</f>
        <v/>
      </c>
      <c r="H318" s="10" t="str">
        <f>IF(ABS(F318)&gt;=Threshold,"Yes","No")</f>
        <v>No</v>
      </c>
      <c r="I318" s="10" t="s">
        <v>18</v>
      </c>
    </row>
    <row r="319" spans="1:9">
      <c r="A319" s="10" t="s">
        <v>229</v>
      </c>
      <c r="B319" s="10" t="s">
        <v>67</v>
      </c>
      <c r="C319" s="10" t="s">
        <v>231</v>
      </c>
      <c r="D319" s="12">
        <f>SUMPRODUCT((Data!$A$2:$A$666=$A319)*(Data!$B$2:$B$666=$B319)*(Data!$C$2:$C$666=$C319)*(ISNUMBER(MATCH(Data!$D$2:$D$666,BaseMonths,0)))*Data!$E$2:$E$666)</f>
        <v>0.0</v>
      </c>
      <c r="E319" s="12">
        <f>SUMPRODUCT((Data!$A$2:$A$666=$A319)*(Data!$B$2:$B$666=$B319)*(Data!$C$2:$C$666=$C319)*(ISNUMBER(MATCH(Data!$D$2:$D$666,CurrentMonths,0)))*Data!$E$2:$E$666)</f>
        <v>-141.94</v>
      </c>
      <c r="F319" s="12">
        <f>E319-D319</f>
        <v>-141.94</v>
      </c>
      <c r="G319" s="13">
        <f>IF(D319=0,"",F319/ABS(D319))</f>
        <v/>
      </c>
      <c r="H319" s="10" t="str">
        <f>IF(ABS(F319)&gt;=Threshold,"Yes","No")</f>
        <v>No</v>
      </c>
      <c r="I319" s="10" t="s">
        <v>18</v>
      </c>
    </row>
    <row r="320" spans="1:9">
      <c r="A320" s="10" t="s">
        <v>322</v>
      </c>
      <c r="B320" s="10" t="s">
        <v>55</v>
      </c>
      <c r="C320" s="10" t="s">
        <v>333</v>
      </c>
      <c r="D320" s="12">
        <f>SUMPRODUCT((Data!$A$2:$A$666=$A320)*(Data!$B$2:$B$666=$B320)*(Data!$C$2:$C$666=$C320)*(ISNUMBER(MATCH(Data!$D$2:$D$666,BaseMonths,0)))*Data!$E$2:$E$666)</f>
        <v>0.0</v>
      </c>
      <c r="E320" s="12">
        <f>SUMPRODUCT((Data!$A$2:$A$666=$A320)*(Data!$B$2:$B$666=$B320)*(Data!$C$2:$C$666=$C320)*(ISNUMBER(MATCH(Data!$D$2:$D$666,CurrentMonths,0)))*Data!$E$2:$E$666)</f>
        <v>-140.07</v>
      </c>
      <c r="F320" s="12">
        <f>E320-D320</f>
        <v>-140.07</v>
      </c>
      <c r="G320" s="13">
        <f>IF(D320=0,"",F320/ABS(D320))</f>
        <v/>
      </c>
      <c r="H320" s="10" t="str">
        <f>IF(ABS(F320)&gt;=Threshold,"Yes","No")</f>
        <v>No</v>
      </c>
      <c r="I320" s="10" t="s">
        <v>18</v>
      </c>
    </row>
    <row r="321" spans="1:9">
      <c r="A321" s="10" t="s">
        <v>322</v>
      </c>
      <c r="B321" s="10" t="s">
        <v>55</v>
      </c>
      <c r="C321" s="10" t="s">
        <v>406</v>
      </c>
      <c r="D321" s="12">
        <f>SUMPRODUCT((Data!$A$2:$A$666=$A321)*(Data!$B$2:$B$666=$B321)*(Data!$C$2:$C$666=$C321)*(ISNUMBER(MATCH(Data!$D$2:$D$666,BaseMonths,0)))*Data!$E$2:$E$666)</f>
        <v>41551.97</v>
      </c>
      <c r="E321" s="12">
        <f>SUMPRODUCT((Data!$A$2:$A$666=$A321)*(Data!$B$2:$B$666=$B321)*(Data!$C$2:$C$666=$C321)*(ISNUMBER(MATCH(Data!$D$2:$D$666,CurrentMonths,0)))*Data!$E$2:$E$666)</f>
        <v>41424.61</v>
      </c>
      <c r="F321" s="12">
        <f>E321-D321</f>
        <v>-127.36</v>
      </c>
      <c r="G321" s="13">
        <f>IF(D321=0,"",F321/ABS(D321))</f>
        <v>-0.0030650772995841112</v>
      </c>
      <c r="H321" s="10" t="str">
        <f>IF(ABS(F321)&gt;=Threshold,"Yes","No")</f>
        <v>No</v>
      </c>
      <c r="I321" s="10" t="s">
        <v>18</v>
      </c>
    </row>
    <row r="322" spans="1:9">
      <c r="A322" s="10" t="s">
        <v>229</v>
      </c>
      <c r="B322" s="10" t="s">
        <v>67</v>
      </c>
      <c r="C322" s="10" t="s">
        <v>237</v>
      </c>
      <c r="D322" s="12">
        <f>SUMPRODUCT((Data!$A$2:$A$666=$A322)*(Data!$B$2:$B$666=$B322)*(Data!$C$2:$C$666=$C322)*(ISNUMBER(MATCH(Data!$D$2:$D$666,BaseMonths,0)))*Data!$E$2:$E$666)</f>
        <v>552.61</v>
      </c>
      <c r="E322" s="12">
        <f>SUMPRODUCT((Data!$A$2:$A$666=$A322)*(Data!$B$2:$B$666=$B322)*(Data!$C$2:$C$666=$C322)*(ISNUMBER(MATCH(Data!$D$2:$D$666,CurrentMonths,0)))*Data!$E$2:$E$666)</f>
        <v>675.99</v>
      </c>
      <c r="F322" s="12">
        <f>E322-D322</f>
        <v>123.38</v>
      </c>
      <c r="G322" s="13">
        <f>IF(D322=0,"",F322/ABS(D322))</f>
        <v>0.22326776569370801</v>
      </c>
      <c r="H322" s="10" t="str">
        <f>IF(ABS(F322)&gt;=Threshold,"Yes","No")</f>
        <v>No</v>
      </c>
      <c r="I322" s="10" t="s">
        <v>18</v>
      </c>
    </row>
    <row r="323" spans="1:9">
      <c r="A323" s="10" t="s">
        <v>54</v>
      </c>
      <c r="B323" s="10" t="s">
        <v>55</v>
      </c>
      <c r="C323" s="10" t="s">
        <v>56</v>
      </c>
      <c r="D323" s="12">
        <f>SUMPRODUCT((Data!$A$2:$A$666=$A323)*(Data!$B$2:$B$666=$B323)*(Data!$C$2:$C$666=$C323)*(ISNUMBER(MATCH(Data!$D$2:$D$666,BaseMonths,0)))*Data!$E$2:$E$666)</f>
        <v>5192.35</v>
      </c>
      <c r="E323" s="12">
        <f>SUMPRODUCT((Data!$A$2:$A$666=$A323)*(Data!$B$2:$B$666=$B323)*(Data!$C$2:$C$666=$C323)*(ISNUMBER(MATCH(Data!$D$2:$D$666,CurrentMonths,0)))*Data!$E$2:$E$666)</f>
        <v>5079.25</v>
      </c>
      <c r="F323" s="12">
        <f>E323-D323</f>
        <v>-113.1</v>
      </c>
      <c r="G323" s="13">
        <f>IF(D323=0,"",F323/ABS(D323))</f>
        <v>-0.021782044738894717</v>
      </c>
      <c r="H323" s="10" t="str">
        <f>IF(ABS(F323)&gt;=Threshold,"Yes","No")</f>
        <v>No</v>
      </c>
      <c r="I323" s="10" t="s">
        <v>18</v>
      </c>
    </row>
    <row r="324" spans="1:9">
      <c r="A324" s="10" t="s">
        <v>33</v>
      </c>
      <c r="B324" s="10" t="s">
        <v>34</v>
      </c>
      <c r="C324" s="10" t="s">
        <v>45</v>
      </c>
      <c r="D324" s="12">
        <f>SUMPRODUCT((Data!$A$2:$A$666=$A324)*(Data!$B$2:$B$666=$B324)*(Data!$C$2:$C$666=$C324)*(ISNUMBER(MATCH(Data!$D$2:$D$666,BaseMonths,0)))*Data!$E$2:$E$666)</f>
        <v>2773.93</v>
      </c>
      <c r="E324" s="12">
        <f>SUMPRODUCT((Data!$A$2:$A$666=$A324)*(Data!$B$2:$B$666=$B324)*(Data!$C$2:$C$666=$C324)*(ISNUMBER(MATCH(Data!$D$2:$D$666,CurrentMonths,0)))*Data!$E$2:$E$666)</f>
        <v>2671.61</v>
      </c>
      <c r="F324" s="12">
        <f>E324-D324</f>
        <v>-102.32</v>
      </c>
      <c r="G324" s="13">
        <f>IF(D324=0,"",F324/ABS(D324))</f>
        <v>-0.03688629489568951</v>
      </c>
      <c r="H324" s="10" t="str">
        <f>IF(ABS(F324)&gt;=Threshold,"Yes","No")</f>
        <v>No</v>
      </c>
      <c r="I324" s="10" t="s">
        <v>18</v>
      </c>
    </row>
    <row r="325" spans="1:9">
      <c r="A325" s="10" t="s">
        <v>322</v>
      </c>
      <c r="B325" s="10" t="s">
        <v>55</v>
      </c>
      <c r="C325" s="10" t="s">
        <v>381</v>
      </c>
      <c r="D325" s="12">
        <f>SUMPRODUCT((Data!$A$2:$A$666=$A325)*(Data!$B$2:$B$666=$B325)*(Data!$C$2:$C$666=$C325)*(ISNUMBER(MATCH(Data!$D$2:$D$666,BaseMonths,0)))*Data!$E$2:$E$666)</f>
        <v>0.0</v>
      </c>
      <c r="E325" s="12">
        <f>SUMPRODUCT((Data!$A$2:$A$666=$A325)*(Data!$B$2:$B$666=$B325)*(Data!$C$2:$C$666=$C325)*(ISNUMBER(MATCH(Data!$D$2:$D$666,CurrentMonths,0)))*Data!$E$2:$E$666)</f>
        <v>-87.83</v>
      </c>
      <c r="F325" s="12">
        <f>E325-D325</f>
        <v>-87.83</v>
      </c>
      <c r="G325" s="13">
        <f>IF(D325=0,"",F325/ABS(D325))</f>
        <v/>
      </c>
      <c r="H325" s="10" t="str">
        <f>IF(ABS(F325)&gt;=Threshold,"Yes","No")</f>
        <v>No</v>
      </c>
      <c r="I325" s="10" t="s">
        <v>18</v>
      </c>
    </row>
    <row r="326" spans="1:9">
      <c r="A326" s="10" t="s">
        <v>289</v>
      </c>
      <c r="B326" s="10" t="s">
        <v>67</v>
      </c>
      <c r="C326" s="10" t="s">
        <v>293</v>
      </c>
      <c r="D326" s="12">
        <f>SUMPRODUCT((Data!$A$2:$A$666=$A326)*(Data!$B$2:$B$666=$B326)*(Data!$C$2:$C$666=$C326)*(ISNUMBER(MATCH(Data!$D$2:$D$666,BaseMonths,0)))*Data!$E$2:$E$666)</f>
        <v>1716.87</v>
      </c>
      <c r="E326" s="12">
        <f>SUMPRODUCT((Data!$A$2:$A$666=$A326)*(Data!$B$2:$B$666=$B326)*(Data!$C$2:$C$666=$C326)*(ISNUMBER(MATCH(Data!$D$2:$D$666,CurrentMonths,0)))*Data!$E$2:$E$666)</f>
        <v>1660.76</v>
      </c>
      <c r="F326" s="12">
        <f>E326-D326</f>
        <v>-56.11</v>
      </c>
      <c r="G326" s="13">
        <f>IF(D326=0,"",F326/ABS(D326))</f>
        <v>-0.03268156587278012</v>
      </c>
      <c r="H326" s="10" t="str">
        <f>IF(ABS(F326)&gt;=Threshold,"Yes","No")</f>
        <v>No</v>
      </c>
      <c r="I326" s="10" t="s">
        <v>18</v>
      </c>
    </row>
    <row r="327" spans="1:9">
      <c r="A327" s="10" t="s">
        <v>229</v>
      </c>
      <c r="B327" s="10" t="s">
        <v>67</v>
      </c>
      <c r="C327" s="10" t="s">
        <v>241</v>
      </c>
      <c r="D327" s="12">
        <f>SUMPRODUCT((Data!$A$2:$A$666=$A327)*(Data!$B$2:$B$666=$B327)*(Data!$C$2:$C$666=$C327)*(ISNUMBER(MATCH(Data!$D$2:$D$666,BaseMonths,0)))*Data!$E$2:$E$666)</f>
        <v>558.39</v>
      </c>
      <c r="E327" s="12">
        <f>SUMPRODUCT((Data!$A$2:$A$666=$A327)*(Data!$B$2:$B$666=$B327)*(Data!$C$2:$C$666=$C327)*(ISNUMBER(MATCH(Data!$D$2:$D$666,CurrentMonths,0)))*Data!$E$2:$E$666)</f>
        <v>507.07</v>
      </c>
      <c r="F327" s="12">
        <f>E327-D327</f>
        <v>-51.32</v>
      </c>
      <c r="G327" s="13">
        <f>IF(D327=0,"",F327/ABS(D327))</f>
        <v>-0.09190709002668386</v>
      </c>
      <c r="H327" s="10" t="str">
        <f>IF(ABS(F327)&gt;=Threshold,"Yes","No")</f>
        <v>No</v>
      </c>
      <c r="I327" s="10" t="s">
        <v>18</v>
      </c>
    </row>
    <row r="328" spans="1:9">
      <c r="A328" s="10" t="s">
        <v>169</v>
      </c>
      <c r="B328" s="10" t="s">
        <v>67</v>
      </c>
      <c r="C328" s="10" t="s">
        <v>171</v>
      </c>
      <c r="D328" s="12">
        <f>SUMPRODUCT((Data!$A$2:$A$666=$A328)*(Data!$B$2:$B$666=$B328)*(Data!$C$2:$C$666=$C328)*(ISNUMBER(MATCH(Data!$D$2:$D$666,BaseMonths,0)))*Data!$E$2:$E$666)</f>
        <v>2181.36</v>
      </c>
      <c r="E328" s="12">
        <f>SUMPRODUCT((Data!$A$2:$A$666=$A328)*(Data!$B$2:$B$666=$B328)*(Data!$C$2:$C$666=$C328)*(ISNUMBER(MATCH(Data!$D$2:$D$666,CurrentMonths,0)))*Data!$E$2:$E$666)</f>
        <v>2136.66</v>
      </c>
      <c r="F328" s="12">
        <f>E328-D328</f>
        <v>-44.7</v>
      </c>
      <c r="G328" s="13">
        <f>IF(D328=0,"",F328/ABS(D328))</f>
        <v>-0.020491803278688523</v>
      </c>
      <c r="H328" s="10" t="str">
        <f>IF(ABS(F328)&gt;=Threshold,"Yes","No")</f>
        <v>No</v>
      </c>
      <c r="I328" s="10" t="s">
        <v>18</v>
      </c>
    </row>
    <row r="329" spans="1:9">
      <c r="A329" s="10" t="s">
        <v>305</v>
      </c>
      <c r="B329" s="10" t="s">
        <v>67</v>
      </c>
      <c r="C329" s="10" t="s">
        <v>308</v>
      </c>
      <c r="D329" s="12">
        <f>SUMPRODUCT((Data!$A$2:$A$666=$A329)*(Data!$B$2:$B$666=$B329)*(Data!$C$2:$C$666=$C329)*(ISNUMBER(MATCH(Data!$D$2:$D$666,BaseMonths,0)))*Data!$E$2:$E$666)</f>
        <v>2746.88</v>
      </c>
      <c r="E329" s="12">
        <f>SUMPRODUCT((Data!$A$2:$A$666=$A329)*(Data!$B$2:$B$666=$B329)*(Data!$C$2:$C$666=$C329)*(ISNUMBER(MATCH(Data!$D$2:$D$666,CurrentMonths,0)))*Data!$E$2:$E$666)</f>
        <v>2706.47</v>
      </c>
      <c r="F329" s="12">
        <f>E329-D329</f>
        <v>-40.41</v>
      </c>
      <c r="G329" s="13">
        <f>IF(D329=0,"",F329/ABS(D329))</f>
        <v>-0.01471123602050326</v>
      </c>
      <c r="H329" s="10" t="str">
        <f>IF(ABS(F329)&gt;=Threshold,"Yes","No")</f>
        <v>No</v>
      </c>
      <c r="I329" s="10" t="s">
        <v>18</v>
      </c>
    </row>
    <row r="330" spans="1:9">
      <c r="A330" s="10" t="s">
        <v>273</v>
      </c>
      <c r="B330" s="10" t="s">
        <v>67</v>
      </c>
      <c r="C330" s="10" t="s">
        <v>275</v>
      </c>
      <c r="D330" s="12">
        <f>SUMPRODUCT((Data!$A$2:$A$666=$A330)*(Data!$B$2:$B$666=$B330)*(Data!$C$2:$C$666=$C330)*(ISNUMBER(MATCH(Data!$D$2:$D$666,BaseMonths,0)))*Data!$E$2:$E$666)</f>
        <v>692.81</v>
      </c>
      <c r="E330" s="12">
        <f>SUMPRODUCT((Data!$A$2:$A$666=$A330)*(Data!$B$2:$B$666=$B330)*(Data!$C$2:$C$666=$C330)*(ISNUMBER(MATCH(Data!$D$2:$D$666,CurrentMonths,0)))*Data!$E$2:$E$666)</f>
        <v>686.77</v>
      </c>
      <c r="F330" s="12">
        <f>E330-D330</f>
        <v>-6.04</v>
      </c>
      <c r="G330" s="13">
        <f>IF(D330=0,"",F330/ABS(D330))</f>
        <v>-0.008718118964795544</v>
      </c>
      <c r="H330" s="10" t="str">
        <f>IF(ABS(F330)&gt;=Threshold,"Yes","No")</f>
        <v>No</v>
      </c>
      <c r="I330" s="10" t="s">
        <v>18</v>
      </c>
    </row>
    <row r="331" spans="1:9">
      <c r="A331" s="10" t="s">
        <v>161</v>
      </c>
      <c r="B331" s="10" t="s">
        <v>67</v>
      </c>
      <c r="C331" s="10" t="s">
        <v>167</v>
      </c>
      <c r="D331" s="12">
        <f>SUMPRODUCT((Data!$A$2:$A$666=$A331)*(Data!$B$2:$B$666=$B331)*(Data!$C$2:$C$666=$C331)*(ISNUMBER(MATCH(Data!$D$2:$D$666,BaseMonths,0)))*Data!$E$2:$E$666)</f>
        <v>144.11</v>
      </c>
      <c r="E331" s="12">
        <f>SUMPRODUCT((Data!$A$2:$A$666=$A331)*(Data!$B$2:$B$666=$B331)*(Data!$C$2:$C$666=$C331)*(ISNUMBER(MATCH(Data!$D$2:$D$666,CurrentMonths,0)))*Data!$E$2:$E$666)</f>
        <v>141.16</v>
      </c>
      <c r="F331" s="12">
        <f>E331-D331</f>
        <v>-2.95</v>
      </c>
      <c r="G331" s="13">
        <f>IF(D331=0,"",F331/ABS(D331))</f>
        <v>-0.02047047394351537</v>
      </c>
      <c r="H331" s="10" t="str">
        <f>IF(ABS(F331)&gt;=Threshold,"Yes","No")</f>
        <v>No</v>
      </c>
      <c r="I331" s="10" t="s">
        <v>18</v>
      </c>
    </row>
    <row r="332" spans="1:9">
      <c r="A332" s="10" t="s">
        <v>251</v>
      </c>
      <c r="B332" s="10" t="s">
        <v>55</v>
      </c>
      <c r="C332" s="10" t="s">
        <v>252</v>
      </c>
      <c r="D332" s="12">
        <f>SUMPRODUCT((Data!$A$2:$A$666=$A332)*(Data!$B$2:$B$666=$B332)*(Data!$C$2:$C$666=$C332)*(ISNUMBER(MATCH(Data!$D$2:$D$666,BaseMonths,0)))*Data!$E$2:$E$666)</f>
        <v>58.34</v>
      </c>
      <c r="E332" s="12">
        <f>SUMPRODUCT((Data!$A$2:$A$666=$A332)*(Data!$B$2:$B$666=$B332)*(Data!$C$2:$C$666=$C332)*(ISNUMBER(MATCH(Data!$D$2:$D$666,CurrentMonths,0)))*Data!$E$2:$E$666)</f>
        <v>58.59</v>
      </c>
      <c r="F332" s="12">
        <f>E332-D332</f>
        <v>0.25</v>
      </c>
      <c r="G332" s="13">
        <f>IF(D332=0,"",F332/ABS(D332))</f>
        <v>0.004285224545766198</v>
      </c>
      <c r="H332" s="10" t="str">
        <f>IF(ABS(F332)&gt;=Threshold,"Yes","No")</f>
        <v>No</v>
      </c>
      <c r="I332" s="10" t="s">
        <v>18</v>
      </c>
    </row>
    <row r="333" spans="1:9">
      <c r="A333" s="10" t="s">
        <v>300</v>
      </c>
      <c r="B333" s="10" t="s">
        <v>67</v>
      </c>
      <c r="C333" s="10" t="s">
        <v>303</v>
      </c>
      <c r="D333" s="12">
        <f>SUMPRODUCT((Data!$A$2:$A$666=$A333)*(Data!$B$2:$B$666=$B333)*(Data!$C$2:$C$666=$C333)*(ISNUMBER(MATCH(Data!$D$2:$D$666,BaseMonths,0)))*Data!$E$2:$E$666)</f>
        <v>207.3</v>
      </c>
      <c r="E333" s="12">
        <f>SUMPRODUCT((Data!$A$2:$A$666=$A333)*(Data!$B$2:$B$666=$B333)*(Data!$C$2:$C$666=$C333)*(ISNUMBER(MATCH(Data!$D$2:$D$666,CurrentMonths,0)))*Data!$E$2:$E$666)</f>
        <v>207.3</v>
      </c>
      <c r="F333" s="12">
        <f>E333-D333</f>
        <v>0.0</v>
      </c>
      <c r="G333" s="13">
        <f>IF(D333=0,"",F333/ABS(D333))</f>
        <v>0.0</v>
      </c>
      <c r="H333" s="10" t="str">
        <f>IF(ABS(F333)&gt;=Threshold,"Yes","No")</f>
        <v>No</v>
      </c>
      <c r="I333" s="10" t="s">
        <v>18</v>
      </c>
    </row>
    <row r="334" spans="1:9">
      <c r="A334" s="10" t="s">
        <v>276</v>
      </c>
      <c r="B334" s="10" t="s">
        <v>67</v>
      </c>
      <c r="C334" s="10" t="s">
        <v>282</v>
      </c>
      <c r="D334" s="12">
        <f>SUMPRODUCT((Data!$A$2:$A$666=$A334)*(Data!$B$2:$B$666=$B334)*(Data!$C$2:$C$666=$C334)*(ISNUMBER(MATCH(Data!$D$2:$D$666,BaseMonths,0)))*Data!$E$2:$E$666)</f>
        <v>0.0</v>
      </c>
      <c r="E334" s="12">
        <f>SUMPRODUCT((Data!$A$2:$A$666=$A334)*(Data!$B$2:$B$666=$B334)*(Data!$C$2:$C$666=$C334)*(ISNUMBER(MATCH(Data!$D$2:$D$666,CurrentMonths,0)))*Data!$E$2:$E$666)</f>
        <v>0.0</v>
      </c>
      <c r="F334" s="12">
        <f>E334-D334</f>
        <v>0.0</v>
      </c>
      <c r="G334" s="13">
        <f>IF(D334=0,"",F334/ABS(D334))</f>
        <v/>
      </c>
      <c r="H334" s="10" t="str">
        <f>IF(ABS(F334)&gt;=Threshold,"Yes","No")</f>
        <v>No</v>
      </c>
      <c r="I334" s="10" t="s">
        <v>18</v>
      </c>
    </row>
    <row r="335" spans="1:9">
      <c r="A335" s="10" t="s">
        <v>198</v>
      </c>
      <c r="B335" s="10" t="s">
        <v>34</v>
      </c>
      <c r="C335" s="10" t="s">
        <v>201</v>
      </c>
      <c r="D335" s="12">
        <f>SUMPRODUCT((Data!$A$2:$A$666=$A335)*(Data!$B$2:$B$666=$B335)*(Data!$C$2:$C$666=$C335)*(ISNUMBER(MATCH(Data!$D$2:$D$666,BaseMonths,0)))*Data!$E$2:$E$666)</f>
        <v>0.0</v>
      </c>
      <c r="E335" s="12">
        <f>SUMPRODUCT((Data!$A$2:$A$666=$A335)*(Data!$B$2:$B$666=$B335)*(Data!$C$2:$C$666=$C335)*(ISNUMBER(MATCH(Data!$D$2:$D$666,CurrentMonths,0)))*Data!$E$2:$E$666)</f>
        <v>0.0</v>
      </c>
      <c r="F335" s="12">
        <f>E335-D335</f>
        <v>0.0</v>
      </c>
      <c r="G335" s="13">
        <f>IF(D335=0,"",F335/ABS(D335))</f>
        <v/>
      </c>
      <c r="H335" s="10" t="str">
        <f>IF(ABS(F335)&gt;=Threshold,"Yes","No")</f>
        <v>No</v>
      </c>
      <c r="I335" s="10" t="s">
        <v>18</v>
      </c>
    </row>
    <row r="336" spans="1:9">
      <c r="A336" s="10" t="s">
        <v>322</v>
      </c>
      <c r="B336" s="10" t="s">
        <v>55</v>
      </c>
      <c r="C336" s="10" t="s">
        <v>399</v>
      </c>
      <c r="D336" s="12">
        <f>SUMPRODUCT((Data!$A$2:$A$666=$A336)*(Data!$B$2:$B$666=$B336)*(Data!$C$2:$C$666=$C336)*(ISNUMBER(MATCH(Data!$D$2:$D$666,BaseMonths,0)))*Data!$E$2:$E$666)</f>
        <v>0.0</v>
      </c>
      <c r="E336" s="12">
        <f>SUMPRODUCT((Data!$A$2:$A$666=$A336)*(Data!$B$2:$B$666=$B336)*(Data!$C$2:$C$666=$C336)*(ISNUMBER(MATCH(Data!$D$2:$D$666,CurrentMonths,0)))*Data!$E$2:$E$666)</f>
        <v>0.0</v>
      </c>
      <c r="F336" s="12">
        <f>E336-D336</f>
        <v>0.0</v>
      </c>
      <c r="G336" s="13">
        <f>IF(D336=0,"",F336/ABS(D336))</f>
        <v/>
      </c>
      <c r="H336" s="10" t="str">
        <f>IF(ABS(F336)&gt;=Threshold,"Yes","No")</f>
        <v>No</v>
      </c>
      <c r="I336" s="10" t="s">
        <v>18</v>
      </c>
    </row>
    <row r="337" spans="1:9">
      <c r="A337" s="10" t="s">
        <v>322</v>
      </c>
      <c r="B337" s="10" t="s">
        <v>55</v>
      </c>
      <c r="C337" s="10" t="s">
        <v>373</v>
      </c>
      <c r="D337" s="12">
        <f>SUMPRODUCT((Data!$A$2:$A$666=$A337)*(Data!$B$2:$B$666=$B337)*(Data!$C$2:$C$666=$C337)*(ISNUMBER(MATCH(Data!$D$2:$D$666,BaseMonths,0)))*Data!$E$2:$E$666)</f>
        <v>0.0</v>
      </c>
      <c r="E337" s="12">
        <f>SUMPRODUCT((Data!$A$2:$A$666=$A337)*(Data!$B$2:$B$666=$B337)*(Data!$C$2:$C$666=$C337)*(ISNUMBER(MATCH(Data!$D$2:$D$666,CurrentMonths,0)))*Data!$E$2:$E$666)</f>
        <v>0.0</v>
      </c>
      <c r="F337" s="12">
        <f>E337-D337</f>
        <v>0.0</v>
      </c>
      <c r="G337" s="13">
        <f>IF(D337=0,"",F337/ABS(D337))</f>
        <v/>
      </c>
      <c r="H337" s="10" t="str">
        <f>IF(ABS(F337)&gt;=Threshold,"Yes","No")</f>
        <v>No</v>
      </c>
      <c r="I337" s="10" t="s">
        <v>18</v>
      </c>
    </row>
    <row r="338" spans="1:9">
      <c r="A338" s="10" t="s">
        <v>229</v>
      </c>
      <c r="B338" s="10" t="s">
        <v>67</v>
      </c>
      <c r="C338" s="10" t="s">
        <v>242</v>
      </c>
      <c r="D338" s="12">
        <f>SUMPRODUCT((Data!$A$2:$A$666=$A338)*(Data!$B$2:$B$666=$B338)*(Data!$C$2:$C$666=$C338)*(ISNUMBER(MATCH(Data!$D$2:$D$666,BaseMonths,0)))*Data!$E$2:$E$666)</f>
        <v>0.0</v>
      </c>
      <c r="E338" s="12">
        <f>SUMPRODUCT((Data!$A$2:$A$666=$A338)*(Data!$B$2:$B$666=$B338)*(Data!$C$2:$C$666=$C338)*(ISNUMBER(MATCH(Data!$D$2:$D$666,CurrentMonths,0)))*Data!$E$2:$E$666)</f>
        <v>0.0</v>
      </c>
      <c r="F338" s="12">
        <f>E338-D338</f>
        <v>0.0</v>
      </c>
      <c r="G338" s="13">
        <f>IF(D338=0,"",F338/ABS(D338))</f>
        <v/>
      </c>
      <c r="H338" s="10" t="str">
        <f>IF(ABS(F338)&gt;=Threshold,"Yes","No")</f>
        <v>No</v>
      </c>
      <c r="I338" s="10" t="s">
        <v>18</v>
      </c>
    </row>
    <row r="339" spans="1:9">
      <c r="A339" s="10" t="s">
        <v>296</v>
      </c>
      <c r="B339" s="10" t="s">
        <v>67</v>
      </c>
      <c r="C339" s="10" t="s">
        <v>298</v>
      </c>
      <c r="D339" s="12">
        <f>SUMPRODUCT((Data!$A$2:$A$666=$A339)*(Data!$B$2:$B$666=$B339)*(Data!$C$2:$C$666=$C339)*(ISNUMBER(MATCH(Data!$D$2:$D$666,BaseMonths,0)))*Data!$E$2:$E$666)</f>
        <v>0.0</v>
      </c>
      <c r="E339" s="12">
        <f>SUMPRODUCT((Data!$A$2:$A$666=$A339)*(Data!$B$2:$B$666=$B339)*(Data!$C$2:$C$666=$C339)*(ISNUMBER(MATCH(Data!$D$2:$D$666,CurrentMonths,0)))*Data!$E$2:$E$666)</f>
        <v>0.0</v>
      </c>
      <c r="F339" s="12">
        <f>E339-D339</f>
        <v>0.0</v>
      </c>
      <c r="G339" s="13">
        <f>IF(D339=0,"",F339/ABS(D339))</f>
        <v/>
      </c>
      <c r="H339" s="10" t="str">
        <f>IF(ABS(F339)&gt;=Threshold,"Yes","No")</f>
        <v>No</v>
      </c>
      <c r="I339" s="10" t="s">
        <v>18</v>
      </c>
    </row>
    <row r="340" spans="1:9">
      <c r="A340" s="10" t="s">
        <v>322</v>
      </c>
      <c r="B340" s="10" t="s">
        <v>55</v>
      </c>
      <c r="C340" s="10" t="s">
        <v>323</v>
      </c>
      <c r="D340" s="12">
        <f>SUMPRODUCT((Data!$A$2:$A$666=$A340)*(Data!$B$2:$B$666=$B340)*(Data!$C$2:$C$666=$C340)*(ISNUMBER(MATCH(Data!$D$2:$D$666,BaseMonths,0)))*Data!$E$2:$E$666)</f>
        <v>260673.5</v>
      </c>
      <c r="E340" s="12">
        <f>SUMPRODUCT((Data!$A$2:$A$666=$A340)*(Data!$B$2:$B$666=$B340)*(Data!$C$2:$C$666=$C340)*(ISNUMBER(MATCH(Data!$D$2:$D$666,CurrentMonths,0)))*Data!$E$2:$E$666)</f>
        <v>260673.5</v>
      </c>
      <c r="F340" s="12">
        <f>E340-D340</f>
        <v>0.0</v>
      </c>
      <c r="G340" s="13">
        <f>IF(D340=0,"",F340/ABS(D340))</f>
        <v>0.0</v>
      </c>
      <c r="H340" s="10" t="str">
        <f>IF(ABS(F340)&gt;=Threshold,"Yes","No")</f>
        <v>No</v>
      </c>
      <c r="I340" s="10" t="s">
        <v>18</v>
      </c>
    </row>
  </sheetData>
  <autoFilter ref="A1:I340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D6A9E"/>
  </sheetPr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3" width="18.7109375" customWidth="1"/>
    <col min="4" max="4" width="14.7109375" customWidth="1"/>
    <col min="5" max="5" width="10.7109375" customWidth="1"/>
  </cols>
  <sheetData>
    <row r="1" spans="1:5">
      <c r="A1" s="11" t="s">
        <v>507</v>
      </c>
      <c r="B1" s="11" t="s">
        <v>508</v>
      </c>
      <c r="C1" s="11" t="s">
        <v>509</v>
      </c>
      <c r="D1" s="11" t="s">
        <v>510</v>
      </c>
      <c r="E1" s="11" t="s">
        <v>511</v>
      </c>
    </row>
    <row r="2" spans="1:5">
      <c r="A2" s="10" t="s">
        <v>447</v>
      </c>
      <c r="B2" s="12">
        <v>27160793.4</v>
      </c>
      <c r="C2" s="12">
        <f>TotalBase</f>
        <v>27160793.4</v>
      </c>
      <c r="D2" s="12">
        <f>C2-B2</f>
        <v>0.0</v>
      </c>
      <c r="E2" s="17" t="str">
        <f>IF(ABS(D2)&lt;0.005,"OK","Check")</f>
        <v>OK</v>
      </c>
    </row>
    <row r="3" spans="1:5">
      <c r="A3" s="10" t="s">
        <v>448</v>
      </c>
      <c r="B3" s="12">
        <v>21173166.47</v>
      </c>
      <c r="C3" s="12">
        <f>TotalCurrent</f>
        <v>21173166.47</v>
      </c>
      <c r="D3" s="12">
        <f>C3-B3</f>
        <v>0.0</v>
      </c>
      <c r="E3" s="17" t="str">
        <f>IF(ABS(D3)&lt;0.005,"OK","Check")</f>
        <v>OK</v>
      </c>
    </row>
    <row r="4" spans="1:5">
      <c r="A4" s="10" t="s">
        <v>512</v>
      </c>
      <c r="B4" s="12">
        <v>-5987626.93</v>
      </c>
      <c r="C4" s="12">
        <f>SUM(Commentary!$G$2:$G$7)</f>
        <v>-5987626.930000001</v>
      </c>
      <c r="D4" s="12">
        <f>C4-B4</f>
        <v>-9.313225746154785e-10</v>
      </c>
      <c r="E4" s="17" t="str">
        <f>IF(ABS(D4)&lt;0.005,"OK","Check")</f>
        <v>OK</v>
      </c>
    </row>
    <row r="5" spans="1:5">
      <c r="A5" s="10" t="s">
        <v>513</v>
      </c>
      <c r="B5" s="12">
        <v>-5987626.93</v>
      </c>
      <c r="C5" s="12">
        <f>SUM('Drill-down'!$F$2:$F$340)</f>
        <v>-5987626.93</v>
      </c>
      <c r="D5" s="12">
        <f>C5-B5</f>
        <v>0.0</v>
      </c>
      <c r="E5" s="17" t="str">
        <f>IF(ABS(D5)&lt;0.005,"OK","Check")</f>
        <v>OK</v>
      </c>
    </row>
    <row r="7" spans="1:5">
      <c r="A7" s="15" t="s">
        <v>514</v>
      </c>
    </row>
    <row r="8" spans="1:5">
      <c r="A8" s="10" t="s">
        <v>515</v>
      </c>
      <c r="B8" s="10" t="s">
        <v>516</v>
      </c>
      <c r="C8" s="10" t="s">
        <v>517</v>
      </c>
    </row>
    <row r="9" spans="1:5">
      <c r="A9" s="10" t="s">
        <v>518</v>
      </c>
      <c r="B9" s="10" t="s">
        <v>516</v>
      </c>
      <c r="C9" s="10" t="s">
        <v>519</v>
      </c>
    </row>
    <row r="10" spans="1:5">
      <c r="A10" s="10" t="s">
        <v>520</v>
      </c>
      <c r="B10" s="10" t="s">
        <v>516</v>
      </c>
      <c r="C10" s="10" t="s">
        <v>521</v>
      </c>
    </row>
    <row r="11" spans="1:5">
      <c r="A11" s="10" t="s">
        <v>522</v>
      </c>
      <c r="B11" s="10" t="s">
        <v>523</v>
      </c>
      <c r="C11" s="10" t="s">
        <v>524</v>
      </c>
    </row>
    <row r="12" spans="1:5">
      <c r="A12" s="10" t="s">
        <v>525</v>
      </c>
      <c r="B12" s="10" t="s">
        <v>516</v>
      </c>
      <c r="C12" s="10" t="s">
        <v>526</v>
      </c>
    </row>
    <row r="13" spans="1:5">
      <c r="A13" s="10" t="s">
        <v>527</v>
      </c>
      <c r="B13" s="10" t="s">
        <v>516</v>
      </c>
      <c r="C13" s="10" t="s">
        <v>528</v>
      </c>
    </row>
    <row r="14" spans="1:5">
      <c r="A14" s="10" t="s">
        <v>529</v>
      </c>
      <c r="B14" s="10" t="s">
        <v>516</v>
      </c>
      <c r="C14" s="10" t="s">
        <v>530</v>
      </c>
    </row>
    <row r="15" spans="1:5">
      <c r="A15" s="10" t="s">
        <v>531</v>
      </c>
      <c r="B15" s="10" t="s">
        <v>516</v>
      </c>
      <c r="C15" s="10" t="s">
        <v>532</v>
      </c>
    </row>
    <row r="16" spans="1:5">
      <c r="A16" s="10" t="s">
        <v>533</v>
      </c>
      <c r="B16" s="10" t="s">
        <v>516</v>
      </c>
      <c r="C16" s="10" t="s">
        <v>534</v>
      </c>
    </row>
    <row r="17" spans="1:3">
      <c r="A17" s="10" t="s">
        <v>535</v>
      </c>
      <c r="B17" s="10" t="s">
        <v>516</v>
      </c>
      <c r="C17" s="10" t="s">
        <v>536</v>
      </c>
    </row>
    <row r="18" spans="1:3">
      <c r="A18" s="10" t="s">
        <v>537</v>
      </c>
      <c r="B18" s="10" t="s">
        <v>516</v>
      </c>
      <c r="C18" s="10" t="s">
        <v>538</v>
      </c>
    </row>
    <row r="20" spans="1:3">
      <c r="A20" s="18" t="s">
        <v>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D6A9E"/>
  </sheetPr>
  <dimension ref="A1:E66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6.7109375" customWidth="1"/>
  </cols>
  <sheetData>
    <row r="1" spans="1:5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</row>
    <row r="2" spans="1:5">
      <c r="A2" s="10" t="s">
        <v>33</v>
      </c>
      <c r="B2" s="10" t="s">
        <v>34</v>
      </c>
      <c r="C2" s="10" t="s">
        <v>35</v>
      </c>
      <c r="D2" s="10" t="s">
        <v>9</v>
      </c>
      <c r="E2" s="12">
        <v>17203.27</v>
      </c>
    </row>
    <row r="3" spans="1:5">
      <c r="A3" s="10" t="s">
        <v>33</v>
      </c>
      <c r="B3" s="10" t="s">
        <v>34</v>
      </c>
      <c r="C3" s="10" t="s">
        <v>35</v>
      </c>
      <c r="D3" s="10" t="s">
        <v>11</v>
      </c>
      <c r="E3" s="12">
        <v>2712.05</v>
      </c>
    </row>
    <row r="4" spans="1:5">
      <c r="A4" s="10" t="s">
        <v>33</v>
      </c>
      <c r="B4" s="10" t="s">
        <v>34</v>
      </c>
      <c r="C4" s="10" t="s">
        <v>36</v>
      </c>
      <c r="D4" s="10" t="s">
        <v>9</v>
      </c>
      <c r="E4" s="12">
        <v>10829.63</v>
      </c>
    </row>
    <row r="5" spans="1:5">
      <c r="A5" s="10" t="s">
        <v>33</v>
      </c>
      <c r="B5" s="10" t="s">
        <v>34</v>
      </c>
      <c r="C5" s="10" t="s">
        <v>36</v>
      </c>
      <c r="D5" s="10" t="s">
        <v>11</v>
      </c>
      <c r="E5" s="12">
        <v>7752</v>
      </c>
    </row>
    <row r="6" spans="1:5">
      <c r="A6" s="10" t="s">
        <v>33</v>
      </c>
      <c r="B6" s="10" t="s">
        <v>34</v>
      </c>
      <c r="C6" s="10" t="s">
        <v>37</v>
      </c>
      <c r="D6" s="10" t="s">
        <v>9</v>
      </c>
      <c r="E6" s="12">
        <v>46074.06</v>
      </c>
    </row>
    <row r="7" spans="1:5">
      <c r="A7" s="10" t="s">
        <v>33</v>
      </c>
      <c r="B7" s="10" t="s">
        <v>34</v>
      </c>
      <c r="C7" s="10" t="s">
        <v>37</v>
      </c>
      <c r="D7" s="10" t="s">
        <v>11</v>
      </c>
      <c r="E7" s="12">
        <v>13900.67</v>
      </c>
    </row>
    <row r="8" spans="1:5">
      <c r="A8" s="10" t="s">
        <v>33</v>
      </c>
      <c r="B8" s="10" t="s">
        <v>34</v>
      </c>
      <c r="C8" s="10" t="s">
        <v>38</v>
      </c>
      <c r="D8" s="10" t="s">
        <v>9</v>
      </c>
      <c r="E8" s="12">
        <v>46448.88</v>
      </c>
    </row>
    <row r="9" spans="1:5">
      <c r="A9" s="10" t="s">
        <v>33</v>
      </c>
      <c r="B9" s="10" t="s">
        <v>34</v>
      </c>
      <c r="C9" s="10" t="s">
        <v>38</v>
      </c>
      <c r="D9" s="10" t="s">
        <v>11</v>
      </c>
      <c r="E9" s="12">
        <v>78530.53</v>
      </c>
    </row>
    <row r="10" spans="1:5">
      <c r="A10" s="10" t="s">
        <v>33</v>
      </c>
      <c r="B10" s="10" t="s">
        <v>34</v>
      </c>
      <c r="C10" s="10" t="s">
        <v>39</v>
      </c>
      <c r="D10" s="10" t="s">
        <v>9</v>
      </c>
      <c r="E10" s="12">
        <v>22980.71</v>
      </c>
    </row>
    <row r="11" spans="1:5">
      <c r="A11" s="10" t="s">
        <v>33</v>
      </c>
      <c r="B11" s="10" t="s">
        <v>34</v>
      </c>
      <c r="C11" s="10" t="s">
        <v>39</v>
      </c>
      <c r="D11" s="10" t="s">
        <v>11</v>
      </c>
      <c r="E11" s="12">
        <v>53974.01</v>
      </c>
    </row>
    <row r="12" spans="1:5">
      <c r="A12" s="10" t="s">
        <v>33</v>
      </c>
      <c r="B12" s="10" t="s">
        <v>34</v>
      </c>
      <c r="C12" s="10" t="s">
        <v>40</v>
      </c>
      <c r="D12" s="10" t="s">
        <v>9</v>
      </c>
      <c r="E12" s="12">
        <v>41692.75</v>
      </c>
    </row>
    <row r="13" spans="1:5">
      <c r="A13" s="10" t="s">
        <v>33</v>
      </c>
      <c r="B13" s="10" t="s">
        <v>34</v>
      </c>
      <c r="C13" s="10" t="s">
        <v>40</v>
      </c>
      <c r="D13" s="10" t="s">
        <v>11</v>
      </c>
      <c r="E13" s="12">
        <v>142908.55</v>
      </c>
    </row>
    <row r="14" spans="1:5">
      <c r="A14" s="10" t="s">
        <v>33</v>
      </c>
      <c r="B14" s="10" t="s">
        <v>34</v>
      </c>
      <c r="C14" s="10" t="s">
        <v>41</v>
      </c>
      <c r="D14" s="10" t="s">
        <v>9</v>
      </c>
      <c r="E14" s="12">
        <v>-39730.89</v>
      </c>
    </row>
    <row r="15" spans="1:5">
      <c r="A15" s="10" t="s">
        <v>33</v>
      </c>
      <c r="B15" s="10" t="s">
        <v>34</v>
      </c>
      <c r="C15" s="10" t="s">
        <v>41</v>
      </c>
      <c r="D15" s="10" t="s">
        <v>11</v>
      </c>
      <c r="E15" s="12">
        <v>100110.3</v>
      </c>
    </row>
    <row r="16" spans="1:5">
      <c r="A16" s="10" t="s">
        <v>33</v>
      </c>
      <c r="B16" s="10" t="s">
        <v>34</v>
      </c>
      <c r="C16" s="10" t="s">
        <v>42</v>
      </c>
      <c r="D16" s="10" t="s">
        <v>9</v>
      </c>
      <c r="E16" s="12">
        <v>8968.07</v>
      </c>
    </row>
    <row r="17" spans="1:5">
      <c r="A17" s="10" t="s">
        <v>33</v>
      </c>
      <c r="B17" s="10" t="s">
        <v>34</v>
      </c>
      <c r="C17" s="10" t="s">
        <v>42</v>
      </c>
      <c r="D17" s="10" t="s">
        <v>11</v>
      </c>
      <c r="E17" s="12">
        <v>28928.82</v>
      </c>
    </row>
    <row r="18" spans="1:5">
      <c r="A18" s="10" t="s">
        <v>33</v>
      </c>
      <c r="B18" s="10" t="s">
        <v>34</v>
      </c>
      <c r="C18" s="10" t="s">
        <v>43</v>
      </c>
      <c r="D18" s="10" t="s">
        <v>9</v>
      </c>
      <c r="E18" s="12">
        <v>30553.16</v>
      </c>
    </row>
    <row r="19" spans="1:5">
      <c r="A19" s="10" t="s">
        <v>33</v>
      </c>
      <c r="B19" s="10" t="s">
        <v>34</v>
      </c>
      <c r="C19" s="10" t="s">
        <v>43</v>
      </c>
      <c r="D19" s="10" t="s">
        <v>11</v>
      </c>
      <c r="E19" s="12">
        <v>45610.03</v>
      </c>
    </row>
    <row r="20" spans="1:5">
      <c r="A20" s="10" t="s">
        <v>33</v>
      </c>
      <c r="B20" s="10" t="s">
        <v>34</v>
      </c>
      <c r="C20" s="10" t="s">
        <v>44</v>
      </c>
      <c r="D20" s="10" t="s">
        <v>9</v>
      </c>
      <c r="E20" s="12">
        <v>8984.59</v>
      </c>
    </row>
    <row r="21" spans="1:5">
      <c r="A21" s="10" t="s">
        <v>33</v>
      </c>
      <c r="B21" s="10" t="s">
        <v>34</v>
      </c>
      <c r="C21" s="10" t="s">
        <v>44</v>
      </c>
      <c r="D21" s="10" t="s">
        <v>11</v>
      </c>
      <c r="E21" s="12">
        <v>77445.55</v>
      </c>
    </row>
    <row r="22" spans="1:5">
      <c r="A22" s="10" t="s">
        <v>33</v>
      </c>
      <c r="B22" s="10" t="s">
        <v>34</v>
      </c>
      <c r="C22" s="10" t="s">
        <v>45</v>
      </c>
      <c r="D22" s="10" t="s">
        <v>9</v>
      </c>
      <c r="E22" s="12">
        <v>2773.93</v>
      </c>
    </row>
    <row r="23" spans="1:5">
      <c r="A23" s="10" t="s">
        <v>33</v>
      </c>
      <c r="B23" s="10" t="s">
        <v>34</v>
      </c>
      <c r="C23" s="10" t="s">
        <v>45</v>
      </c>
      <c r="D23" s="10" t="s">
        <v>11</v>
      </c>
      <c r="E23" s="12">
        <v>2671.61</v>
      </c>
    </row>
    <row r="24" spans="1:5">
      <c r="A24" s="10" t="s">
        <v>33</v>
      </c>
      <c r="B24" s="10" t="s">
        <v>34</v>
      </c>
      <c r="C24" s="10" t="s">
        <v>46</v>
      </c>
      <c r="D24" s="10" t="s">
        <v>9</v>
      </c>
      <c r="E24" s="12">
        <v>55005.04</v>
      </c>
    </row>
    <row r="25" spans="1:5">
      <c r="A25" s="10" t="s">
        <v>33</v>
      </c>
      <c r="B25" s="10" t="s">
        <v>34</v>
      </c>
      <c r="C25" s="10" t="s">
        <v>46</v>
      </c>
      <c r="D25" s="10" t="s">
        <v>11</v>
      </c>
      <c r="E25" s="12">
        <v>111017.96</v>
      </c>
    </row>
    <row r="26" spans="1:5">
      <c r="A26" s="10" t="s">
        <v>33</v>
      </c>
      <c r="B26" s="10" t="s">
        <v>34</v>
      </c>
      <c r="C26" s="10" t="s">
        <v>47</v>
      </c>
      <c r="D26" s="10" t="s">
        <v>9</v>
      </c>
      <c r="E26" s="12">
        <v>25522.09</v>
      </c>
    </row>
    <row r="27" spans="1:5">
      <c r="A27" s="10" t="s">
        <v>33</v>
      </c>
      <c r="B27" s="10" t="s">
        <v>34</v>
      </c>
      <c r="C27" s="10" t="s">
        <v>47</v>
      </c>
      <c r="D27" s="10" t="s">
        <v>11</v>
      </c>
      <c r="E27" s="12">
        <v>69527.69</v>
      </c>
    </row>
    <row r="28" spans="1:5">
      <c r="A28" s="10" t="s">
        <v>33</v>
      </c>
      <c r="B28" s="10" t="s">
        <v>34</v>
      </c>
      <c r="C28" s="10" t="s">
        <v>48</v>
      </c>
      <c r="D28" s="10" t="s">
        <v>9</v>
      </c>
      <c r="E28" s="12">
        <v>31722.44</v>
      </c>
    </row>
    <row r="29" spans="1:5">
      <c r="A29" s="10" t="s">
        <v>33</v>
      </c>
      <c r="B29" s="10" t="s">
        <v>34</v>
      </c>
      <c r="C29" s="10" t="s">
        <v>48</v>
      </c>
      <c r="D29" s="10" t="s">
        <v>11</v>
      </c>
      <c r="E29" s="12">
        <v>155345.57</v>
      </c>
    </row>
    <row r="30" spans="1:5">
      <c r="A30" s="10" t="s">
        <v>33</v>
      </c>
      <c r="B30" s="10" t="s">
        <v>34</v>
      </c>
      <c r="C30" s="10" t="s">
        <v>49</v>
      </c>
      <c r="D30" s="10" t="s">
        <v>9</v>
      </c>
      <c r="E30" s="12">
        <v>30644.1</v>
      </c>
    </row>
    <row r="31" spans="1:5">
      <c r="A31" s="10" t="s">
        <v>33</v>
      </c>
      <c r="B31" s="10" t="s">
        <v>34</v>
      </c>
      <c r="C31" s="10" t="s">
        <v>49</v>
      </c>
      <c r="D31" s="10" t="s">
        <v>11</v>
      </c>
      <c r="E31" s="12">
        <v>119141.26</v>
      </c>
    </row>
    <row r="32" spans="1:5">
      <c r="A32" s="10" t="s">
        <v>33</v>
      </c>
      <c r="B32" s="10" t="s">
        <v>34</v>
      </c>
      <c r="C32" s="10" t="s">
        <v>50</v>
      </c>
      <c r="D32" s="10" t="s">
        <v>9</v>
      </c>
      <c r="E32" s="12">
        <v>121342.16</v>
      </c>
    </row>
    <row r="33" spans="1:5">
      <c r="A33" s="10" t="s">
        <v>33</v>
      </c>
      <c r="B33" s="10" t="s">
        <v>34</v>
      </c>
      <c r="C33" s="10" t="s">
        <v>50</v>
      </c>
      <c r="D33" s="10" t="s">
        <v>11</v>
      </c>
      <c r="E33" s="12">
        <v>198778.39</v>
      </c>
    </row>
    <row r="34" spans="1:5">
      <c r="A34" s="10" t="s">
        <v>33</v>
      </c>
      <c r="B34" s="10" t="s">
        <v>34</v>
      </c>
      <c r="C34" s="10" t="s">
        <v>51</v>
      </c>
      <c r="D34" s="10" t="s">
        <v>9</v>
      </c>
      <c r="E34" s="12">
        <v>121183.16</v>
      </c>
    </row>
    <row r="35" spans="1:5">
      <c r="A35" s="10" t="s">
        <v>33</v>
      </c>
      <c r="B35" s="10" t="s">
        <v>34</v>
      </c>
      <c r="C35" s="10" t="s">
        <v>51</v>
      </c>
      <c r="D35" s="10" t="s">
        <v>11</v>
      </c>
      <c r="E35" s="12">
        <v>145708.96</v>
      </c>
    </row>
    <row r="36" spans="1:5">
      <c r="A36" s="10" t="s">
        <v>33</v>
      </c>
      <c r="B36" s="10" t="s">
        <v>34</v>
      </c>
      <c r="C36" s="10" t="s">
        <v>52</v>
      </c>
      <c r="D36" s="10" t="s">
        <v>9</v>
      </c>
      <c r="E36" s="12">
        <v>83522.38</v>
      </c>
    </row>
    <row r="37" spans="1:5">
      <c r="A37" s="10" t="s">
        <v>33</v>
      </c>
      <c r="B37" s="10" t="s">
        <v>34</v>
      </c>
      <c r="C37" s="10" t="s">
        <v>52</v>
      </c>
      <c r="D37" s="10" t="s">
        <v>11</v>
      </c>
      <c r="E37" s="12">
        <v>148118.41</v>
      </c>
    </row>
    <row r="38" spans="1:5">
      <c r="A38" s="10" t="s">
        <v>33</v>
      </c>
      <c r="B38" s="10" t="s">
        <v>34</v>
      </c>
      <c r="C38" s="10" t="s">
        <v>53</v>
      </c>
      <c r="D38" s="10" t="s">
        <v>9</v>
      </c>
      <c r="E38" s="12">
        <v>5158.53</v>
      </c>
    </row>
    <row r="39" spans="1:5">
      <c r="A39" s="10" t="s">
        <v>33</v>
      </c>
      <c r="B39" s="10" t="s">
        <v>34</v>
      </c>
      <c r="C39" s="10" t="s">
        <v>53</v>
      </c>
      <c r="D39" s="10" t="s">
        <v>11</v>
      </c>
      <c r="E39" s="12">
        <v>13285.11</v>
      </c>
    </row>
    <row r="40" spans="1:5">
      <c r="A40" s="10" t="s">
        <v>54</v>
      </c>
      <c r="B40" s="10" t="s">
        <v>55</v>
      </c>
      <c r="C40" s="10" t="s">
        <v>56</v>
      </c>
      <c r="D40" s="10" t="s">
        <v>9</v>
      </c>
      <c r="E40" s="12">
        <v>5192.35</v>
      </c>
    </row>
    <row r="41" spans="1:5">
      <c r="A41" s="10" t="s">
        <v>54</v>
      </c>
      <c r="B41" s="10" t="s">
        <v>55</v>
      </c>
      <c r="C41" s="10" t="s">
        <v>56</v>
      </c>
      <c r="D41" s="10" t="s">
        <v>11</v>
      </c>
      <c r="E41" s="12">
        <v>5079.25</v>
      </c>
    </row>
    <row r="42" spans="1:5">
      <c r="A42" s="10" t="s">
        <v>54</v>
      </c>
      <c r="B42" s="10" t="s">
        <v>55</v>
      </c>
      <c r="C42" s="10" t="s">
        <v>57</v>
      </c>
      <c r="D42" s="10" t="s">
        <v>9</v>
      </c>
      <c r="E42" s="12">
        <v>34756.01</v>
      </c>
    </row>
    <row r="43" spans="1:5">
      <c r="A43" s="10" t="s">
        <v>54</v>
      </c>
      <c r="B43" s="10" t="s">
        <v>55</v>
      </c>
      <c r="C43" s="10" t="s">
        <v>57</v>
      </c>
      <c r="D43" s="10" t="s">
        <v>11</v>
      </c>
      <c r="E43" s="12">
        <v>11254.5</v>
      </c>
    </row>
    <row r="44" spans="1:5">
      <c r="A44" s="10" t="s">
        <v>54</v>
      </c>
      <c r="B44" s="10" t="s">
        <v>55</v>
      </c>
      <c r="C44" s="10" t="s">
        <v>58</v>
      </c>
      <c r="D44" s="10" t="s">
        <v>9</v>
      </c>
      <c r="E44" s="12">
        <v>231377.52</v>
      </c>
    </row>
    <row r="45" spans="1:5">
      <c r="A45" s="10" t="s">
        <v>54</v>
      </c>
      <c r="B45" s="10" t="s">
        <v>55</v>
      </c>
      <c r="C45" s="10" t="s">
        <v>58</v>
      </c>
      <c r="D45" s="10" t="s">
        <v>11</v>
      </c>
      <c r="E45" s="12">
        <v>219442.13</v>
      </c>
    </row>
    <row r="46" spans="1:5">
      <c r="A46" s="10" t="s">
        <v>54</v>
      </c>
      <c r="B46" s="10" t="s">
        <v>55</v>
      </c>
      <c r="C46" s="10" t="s">
        <v>59</v>
      </c>
      <c r="D46" s="10" t="s">
        <v>9</v>
      </c>
      <c r="E46" s="12">
        <v>63969.39</v>
      </c>
    </row>
    <row r="47" spans="1:5">
      <c r="A47" s="10" t="s">
        <v>54</v>
      </c>
      <c r="B47" s="10" t="s">
        <v>55</v>
      </c>
      <c r="C47" s="10" t="s">
        <v>59</v>
      </c>
      <c r="D47" s="10" t="s">
        <v>11</v>
      </c>
      <c r="E47" s="12">
        <v>32215.88</v>
      </c>
    </row>
    <row r="48" spans="1:5">
      <c r="A48" s="10" t="s">
        <v>54</v>
      </c>
      <c r="B48" s="10" t="s">
        <v>55</v>
      </c>
      <c r="C48" s="10" t="s">
        <v>60</v>
      </c>
      <c r="D48" s="10" t="s">
        <v>9</v>
      </c>
      <c r="E48" s="12">
        <v>3865.71</v>
      </c>
    </row>
    <row r="49" spans="1:5">
      <c r="A49" s="10" t="s">
        <v>54</v>
      </c>
      <c r="B49" s="10" t="s">
        <v>55</v>
      </c>
      <c r="C49" s="10" t="s">
        <v>60</v>
      </c>
      <c r="D49" s="10" t="s">
        <v>11</v>
      </c>
      <c r="E49" s="12">
        <v>2145.58</v>
      </c>
    </row>
    <row r="50" spans="1:5">
      <c r="A50" s="10" t="s">
        <v>54</v>
      </c>
      <c r="B50" s="10" t="s">
        <v>55</v>
      </c>
      <c r="C50" s="10" t="s">
        <v>61</v>
      </c>
      <c r="D50" s="10" t="s">
        <v>9</v>
      </c>
      <c r="E50" s="12">
        <v>146305.71</v>
      </c>
    </row>
    <row r="51" spans="1:5">
      <c r="A51" s="10" t="s">
        <v>54</v>
      </c>
      <c r="B51" s="10" t="s">
        <v>55</v>
      </c>
      <c r="C51" s="10" t="s">
        <v>61</v>
      </c>
      <c r="D51" s="10" t="s">
        <v>11</v>
      </c>
      <c r="E51" s="12">
        <v>138522.68</v>
      </c>
    </row>
    <row r="52" spans="1:5">
      <c r="A52" s="10" t="s">
        <v>54</v>
      </c>
      <c r="B52" s="10" t="s">
        <v>55</v>
      </c>
      <c r="C52" s="10" t="s">
        <v>62</v>
      </c>
      <c r="D52" s="10" t="s">
        <v>9</v>
      </c>
      <c r="E52" s="12">
        <v>43073.73</v>
      </c>
    </row>
    <row r="53" spans="1:5">
      <c r="A53" s="10" t="s">
        <v>54</v>
      </c>
      <c r="B53" s="10" t="s">
        <v>55</v>
      </c>
      <c r="C53" s="10" t="s">
        <v>62</v>
      </c>
      <c r="D53" s="10" t="s">
        <v>11</v>
      </c>
      <c r="E53" s="12">
        <v>50794.49</v>
      </c>
    </row>
    <row r="54" spans="1:5">
      <c r="A54" s="10" t="s">
        <v>54</v>
      </c>
      <c r="B54" s="10" t="s">
        <v>55</v>
      </c>
      <c r="C54" s="10" t="s">
        <v>63</v>
      </c>
      <c r="D54" s="10" t="s">
        <v>9</v>
      </c>
      <c r="E54" s="12">
        <v>440441.66</v>
      </c>
    </row>
    <row r="55" spans="1:5">
      <c r="A55" s="10" t="s">
        <v>54</v>
      </c>
      <c r="B55" s="10" t="s">
        <v>55</v>
      </c>
      <c r="C55" s="10" t="s">
        <v>63</v>
      </c>
      <c r="D55" s="10" t="s">
        <v>11</v>
      </c>
      <c r="E55" s="12">
        <v>-2367.7</v>
      </c>
    </row>
    <row r="56" spans="1:5">
      <c r="A56" s="10" t="s">
        <v>54</v>
      </c>
      <c r="B56" s="10" t="s">
        <v>55</v>
      </c>
      <c r="C56" s="10" t="s">
        <v>64</v>
      </c>
      <c r="D56" s="10" t="s">
        <v>9</v>
      </c>
      <c r="E56" s="12">
        <v>121381.14</v>
      </c>
    </row>
    <row r="57" spans="1:5">
      <c r="A57" s="10" t="s">
        <v>54</v>
      </c>
      <c r="B57" s="10" t="s">
        <v>55</v>
      </c>
      <c r="C57" s="10" t="s">
        <v>64</v>
      </c>
      <c r="D57" s="10" t="s">
        <v>11</v>
      </c>
      <c r="E57" s="12">
        <v>212374.16</v>
      </c>
    </row>
    <row r="58" spans="1:5">
      <c r="A58" s="10" t="s">
        <v>54</v>
      </c>
      <c r="B58" s="10" t="s">
        <v>55</v>
      </c>
      <c r="C58" s="10" t="s">
        <v>65</v>
      </c>
      <c r="D58" s="10" t="s">
        <v>9</v>
      </c>
      <c r="E58" s="12">
        <v>71851.74000000001</v>
      </c>
    </row>
    <row r="59" spans="1:5">
      <c r="A59" s="10" t="s">
        <v>54</v>
      </c>
      <c r="B59" s="10" t="s">
        <v>55</v>
      </c>
      <c r="C59" s="10" t="s">
        <v>65</v>
      </c>
      <c r="D59" s="10" t="s">
        <v>11</v>
      </c>
      <c r="E59" s="12">
        <v>57098.03</v>
      </c>
    </row>
    <row r="60" spans="1:5">
      <c r="A60" s="10" t="s">
        <v>66</v>
      </c>
      <c r="B60" s="10" t="s">
        <v>67</v>
      </c>
      <c r="C60" s="10" t="s">
        <v>68</v>
      </c>
      <c r="D60" s="10" t="s">
        <v>9</v>
      </c>
      <c r="E60" s="12">
        <v>8438.67</v>
      </c>
    </row>
    <row r="61" spans="1:5">
      <c r="A61" s="10" t="s">
        <v>66</v>
      </c>
      <c r="B61" s="10" t="s">
        <v>67</v>
      </c>
      <c r="C61" s="10" t="s">
        <v>68</v>
      </c>
      <c r="D61" s="10" t="s">
        <v>11</v>
      </c>
      <c r="E61" s="12">
        <v>28467.5</v>
      </c>
    </row>
    <row r="62" spans="1:5">
      <c r="A62" s="10" t="s">
        <v>66</v>
      </c>
      <c r="B62" s="10" t="s">
        <v>67</v>
      </c>
      <c r="C62" s="10" t="s">
        <v>69</v>
      </c>
      <c r="D62" s="10" t="s">
        <v>9</v>
      </c>
      <c r="E62" s="12">
        <v>3544.14</v>
      </c>
    </row>
    <row r="63" spans="1:5">
      <c r="A63" s="10" t="s">
        <v>66</v>
      </c>
      <c r="B63" s="10" t="s">
        <v>67</v>
      </c>
      <c r="C63" s="10" t="s">
        <v>69</v>
      </c>
      <c r="D63" s="10" t="s">
        <v>11</v>
      </c>
      <c r="E63" s="12">
        <v>14983.91</v>
      </c>
    </row>
    <row r="64" spans="1:5">
      <c r="A64" s="10" t="s">
        <v>70</v>
      </c>
      <c r="B64" s="10" t="s">
        <v>55</v>
      </c>
      <c r="C64" s="10" t="s">
        <v>71</v>
      </c>
      <c r="D64" s="10" t="s">
        <v>9</v>
      </c>
      <c r="E64" s="12">
        <v>51475.56</v>
      </c>
    </row>
    <row r="65" spans="1:5">
      <c r="A65" s="10" t="s">
        <v>70</v>
      </c>
      <c r="B65" s="10" t="s">
        <v>55</v>
      </c>
      <c r="C65" s="10" t="s">
        <v>71</v>
      </c>
      <c r="D65" s="10" t="s">
        <v>11</v>
      </c>
      <c r="E65" s="12">
        <v>41037.8</v>
      </c>
    </row>
    <row r="66" spans="1:5">
      <c r="A66" s="10" t="s">
        <v>70</v>
      </c>
      <c r="B66" s="10" t="s">
        <v>55</v>
      </c>
      <c r="C66" s="10" t="s">
        <v>72</v>
      </c>
      <c r="D66" s="10" t="s">
        <v>9</v>
      </c>
      <c r="E66" s="12">
        <v>41368.82</v>
      </c>
    </row>
    <row r="67" spans="1:5">
      <c r="A67" s="10" t="s">
        <v>70</v>
      </c>
      <c r="B67" s="10" t="s">
        <v>55</v>
      </c>
      <c r="C67" s="10" t="s">
        <v>72</v>
      </c>
      <c r="D67" s="10" t="s">
        <v>11</v>
      </c>
      <c r="E67" s="12">
        <v>10983.43</v>
      </c>
    </row>
    <row r="68" spans="1:5">
      <c r="A68" s="10" t="s">
        <v>70</v>
      </c>
      <c r="B68" s="10" t="s">
        <v>55</v>
      </c>
      <c r="C68" s="10" t="s">
        <v>73</v>
      </c>
      <c r="D68" s="10" t="s">
        <v>9</v>
      </c>
      <c r="E68" s="12">
        <v>203452.14</v>
      </c>
    </row>
    <row r="69" spans="1:5">
      <c r="A69" s="10" t="s">
        <v>70</v>
      </c>
      <c r="B69" s="10" t="s">
        <v>55</v>
      </c>
      <c r="C69" s="10" t="s">
        <v>73</v>
      </c>
      <c r="D69" s="10" t="s">
        <v>11</v>
      </c>
      <c r="E69" s="12">
        <v>62813.07</v>
      </c>
    </row>
    <row r="70" spans="1:5">
      <c r="A70" s="10" t="s">
        <v>70</v>
      </c>
      <c r="B70" s="10" t="s">
        <v>55</v>
      </c>
      <c r="C70" s="10" t="s">
        <v>74</v>
      </c>
      <c r="D70" s="10" t="s">
        <v>9</v>
      </c>
      <c r="E70" s="12">
        <v>55014.73</v>
      </c>
    </row>
    <row r="71" spans="1:5">
      <c r="A71" s="10" t="s">
        <v>70</v>
      </c>
      <c r="B71" s="10" t="s">
        <v>55</v>
      </c>
      <c r="C71" s="10" t="s">
        <v>74</v>
      </c>
      <c r="D71" s="10" t="s">
        <v>11</v>
      </c>
      <c r="E71" s="12">
        <v>22881.64</v>
      </c>
    </row>
    <row r="72" spans="1:5">
      <c r="A72" s="10" t="s">
        <v>70</v>
      </c>
      <c r="B72" s="10" t="s">
        <v>55</v>
      </c>
      <c r="C72" s="10" t="s">
        <v>75</v>
      </c>
      <c r="D72" s="10" t="s">
        <v>9</v>
      </c>
      <c r="E72" s="12">
        <v>223468.25</v>
      </c>
    </row>
    <row r="73" spans="1:5">
      <c r="A73" s="10" t="s">
        <v>70</v>
      </c>
      <c r="B73" s="10" t="s">
        <v>55</v>
      </c>
      <c r="C73" s="10" t="s">
        <v>75</v>
      </c>
      <c r="D73" s="10" t="s">
        <v>11</v>
      </c>
      <c r="E73" s="12">
        <v>43978.69</v>
      </c>
    </row>
    <row r="74" spans="1:5">
      <c r="A74" s="10" t="s">
        <v>70</v>
      </c>
      <c r="B74" s="10" t="s">
        <v>55</v>
      </c>
      <c r="C74" s="10" t="s">
        <v>76</v>
      </c>
      <c r="D74" s="10" t="s">
        <v>9</v>
      </c>
      <c r="E74" s="12">
        <v>94475.27</v>
      </c>
    </row>
    <row r="75" spans="1:5">
      <c r="A75" s="10" t="s">
        <v>70</v>
      </c>
      <c r="B75" s="10" t="s">
        <v>55</v>
      </c>
      <c r="C75" s="10" t="s">
        <v>76</v>
      </c>
      <c r="D75" s="10" t="s">
        <v>11</v>
      </c>
      <c r="E75" s="12">
        <v>44196.69</v>
      </c>
    </row>
    <row r="76" spans="1:5">
      <c r="A76" s="10" t="s">
        <v>70</v>
      </c>
      <c r="B76" s="10" t="s">
        <v>55</v>
      </c>
      <c r="C76" s="10" t="s">
        <v>77</v>
      </c>
      <c r="D76" s="10" t="s">
        <v>9</v>
      </c>
      <c r="E76" s="12">
        <v>17470.3</v>
      </c>
    </row>
    <row r="77" spans="1:5">
      <c r="A77" s="10" t="s">
        <v>70</v>
      </c>
      <c r="B77" s="10" t="s">
        <v>55</v>
      </c>
      <c r="C77" s="10" t="s">
        <v>77</v>
      </c>
      <c r="D77" s="10" t="s">
        <v>11</v>
      </c>
      <c r="E77" s="12">
        <v>21581.67</v>
      </c>
    </row>
    <row r="78" spans="1:5">
      <c r="A78" s="10" t="s">
        <v>70</v>
      </c>
      <c r="B78" s="10" t="s">
        <v>55</v>
      </c>
      <c r="C78" s="10" t="s">
        <v>78</v>
      </c>
      <c r="D78" s="10" t="s">
        <v>9</v>
      </c>
      <c r="E78" s="12">
        <v>28333.97</v>
      </c>
    </row>
    <row r="79" spans="1:5">
      <c r="A79" s="10" t="s">
        <v>70</v>
      </c>
      <c r="B79" s="10" t="s">
        <v>55</v>
      </c>
      <c r="C79" s="10" t="s">
        <v>78</v>
      </c>
      <c r="D79" s="10" t="s">
        <v>11</v>
      </c>
      <c r="E79" s="12">
        <v>53599</v>
      </c>
    </row>
    <row r="80" spans="1:5">
      <c r="A80" s="10" t="s">
        <v>70</v>
      </c>
      <c r="B80" s="10" t="s">
        <v>55</v>
      </c>
      <c r="C80" s="10" t="s">
        <v>79</v>
      </c>
      <c r="D80" s="10" t="s">
        <v>9</v>
      </c>
      <c r="E80" s="12">
        <v>12383.7</v>
      </c>
    </row>
    <row r="81" spans="1:5">
      <c r="A81" s="10" t="s">
        <v>70</v>
      </c>
      <c r="B81" s="10" t="s">
        <v>55</v>
      </c>
      <c r="C81" s="10" t="s">
        <v>79</v>
      </c>
      <c r="D81" s="10" t="s">
        <v>11</v>
      </c>
      <c r="E81" s="12">
        <v>8128.44</v>
      </c>
    </row>
    <row r="82" spans="1:5">
      <c r="A82" s="10" t="s">
        <v>70</v>
      </c>
      <c r="B82" s="10" t="s">
        <v>55</v>
      </c>
      <c r="C82" s="10" t="s">
        <v>80</v>
      </c>
      <c r="D82" s="10" t="s">
        <v>9</v>
      </c>
      <c r="E82" s="12">
        <v>857.8099999999999</v>
      </c>
    </row>
    <row r="83" spans="1:5">
      <c r="A83" s="10" t="s">
        <v>70</v>
      </c>
      <c r="B83" s="10" t="s">
        <v>55</v>
      </c>
      <c r="C83" s="10" t="s">
        <v>81</v>
      </c>
      <c r="D83" s="10" t="s">
        <v>9</v>
      </c>
      <c r="E83" s="12">
        <v>48730.18</v>
      </c>
    </row>
    <row r="84" spans="1:5">
      <c r="A84" s="10" t="s">
        <v>70</v>
      </c>
      <c r="B84" s="10" t="s">
        <v>55</v>
      </c>
      <c r="C84" s="10" t="s">
        <v>81</v>
      </c>
      <c r="D84" s="10" t="s">
        <v>11</v>
      </c>
      <c r="E84" s="12">
        <v>34136.04</v>
      </c>
    </row>
    <row r="85" spans="1:5">
      <c r="A85" s="10" t="s">
        <v>70</v>
      </c>
      <c r="B85" s="10" t="s">
        <v>55</v>
      </c>
      <c r="C85" s="10" t="s">
        <v>82</v>
      </c>
      <c r="D85" s="10" t="s">
        <v>9</v>
      </c>
      <c r="E85" s="12">
        <v>14365.38</v>
      </c>
    </row>
    <row r="86" spans="1:5">
      <c r="A86" s="10" t="s">
        <v>70</v>
      </c>
      <c r="B86" s="10" t="s">
        <v>55</v>
      </c>
      <c r="C86" s="10" t="s">
        <v>82</v>
      </c>
      <c r="D86" s="10" t="s">
        <v>11</v>
      </c>
      <c r="E86" s="12">
        <v>59138.48</v>
      </c>
    </row>
    <row r="87" spans="1:5">
      <c r="A87" s="10" t="s">
        <v>70</v>
      </c>
      <c r="B87" s="10" t="s">
        <v>55</v>
      </c>
      <c r="C87" s="10" t="s">
        <v>83</v>
      </c>
      <c r="D87" s="10" t="s">
        <v>9</v>
      </c>
      <c r="E87" s="12">
        <v>6544.76</v>
      </c>
    </row>
    <row r="88" spans="1:5">
      <c r="A88" s="10" t="s">
        <v>70</v>
      </c>
      <c r="B88" s="10" t="s">
        <v>55</v>
      </c>
      <c r="C88" s="10" t="s">
        <v>83</v>
      </c>
      <c r="D88" s="10" t="s">
        <v>11</v>
      </c>
      <c r="E88" s="12">
        <v>8409.27</v>
      </c>
    </row>
    <row r="89" spans="1:5">
      <c r="A89" s="10" t="s">
        <v>70</v>
      </c>
      <c r="B89" s="10" t="s">
        <v>55</v>
      </c>
      <c r="C89" s="10" t="s">
        <v>84</v>
      </c>
      <c r="D89" s="10" t="s">
        <v>9</v>
      </c>
      <c r="E89" s="12">
        <v>19752.85</v>
      </c>
    </row>
    <row r="90" spans="1:5">
      <c r="A90" s="10" t="s">
        <v>70</v>
      </c>
      <c r="B90" s="10" t="s">
        <v>55</v>
      </c>
      <c r="C90" s="10" t="s">
        <v>84</v>
      </c>
      <c r="D90" s="10" t="s">
        <v>11</v>
      </c>
      <c r="E90" s="12">
        <v>53467.63</v>
      </c>
    </row>
    <row r="91" spans="1:5">
      <c r="A91" s="10" t="s">
        <v>70</v>
      </c>
      <c r="B91" s="10" t="s">
        <v>55</v>
      </c>
      <c r="C91" s="10" t="s">
        <v>85</v>
      </c>
      <c r="D91" s="10" t="s">
        <v>9</v>
      </c>
      <c r="E91" s="12">
        <v>6573.28</v>
      </c>
    </row>
    <row r="92" spans="1:5">
      <c r="A92" s="10" t="s">
        <v>70</v>
      </c>
      <c r="B92" s="10" t="s">
        <v>55</v>
      </c>
      <c r="C92" s="10" t="s">
        <v>85</v>
      </c>
      <c r="D92" s="10" t="s">
        <v>11</v>
      </c>
      <c r="E92" s="12">
        <v>42887.34</v>
      </c>
    </row>
    <row r="93" spans="1:5">
      <c r="A93" s="10" t="s">
        <v>70</v>
      </c>
      <c r="B93" s="10" t="s">
        <v>55</v>
      </c>
      <c r="C93" s="10" t="s">
        <v>86</v>
      </c>
      <c r="D93" s="10" t="s">
        <v>9</v>
      </c>
      <c r="E93" s="12">
        <v>15552.91</v>
      </c>
    </row>
    <row r="94" spans="1:5">
      <c r="A94" s="10" t="s">
        <v>70</v>
      </c>
      <c r="B94" s="10" t="s">
        <v>55</v>
      </c>
      <c r="C94" s="10" t="s">
        <v>86</v>
      </c>
      <c r="D94" s="10" t="s">
        <v>11</v>
      </c>
      <c r="E94" s="12">
        <v>9044.01</v>
      </c>
    </row>
    <row r="95" spans="1:5">
      <c r="A95" s="10" t="s">
        <v>70</v>
      </c>
      <c r="B95" s="10" t="s">
        <v>55</v>
      </c>
      <c r="C95" s="10" t="s">
        <v>87</v>
      </c>
      <c r="D95" s="10" t="s">
        <v>9</v>
      </c>
      <c r="E95" s="12">
        <v>34243.42</v>
      </c>
    </row>
    <row r="96" spans="1:5">
      <c r="A96" s="10" t="s">
        <v>70</v>
      </c>
      <c r="B96" s="10" t="s">
        <v>55</v>
      </c>
      <c r="C96" s="10" t="s">
        <v>87</v>
      </c>
      <c r="D96" s="10" t="s">
        <v>11</v>
      </c>
      <c r="E96" s="12">
        <v>21427.39</v>
      </c>
    </row>
    <row r="97" spans="1:5">
      <c r="A97" s="10" t="s">
        <v>88</v>
      </c>
      <c r="B97" s="10" t="s">
        <v>55</v>
      </c>
      <c r="C97" s="10" t="s">
        <v>89</v>
      </c>
      <c r="D97" s="10" t="s">
        <v>11</v>
      </c>
      <c r="E97" s="12">
        <v>1048.43</v>
      </c>
    </row>
    <row r="98" spans="1:5">
      <c r="A98" s="10" t="s">
        <v>88</v>
      </c>
      <c r="B98" s="10" t="s">
        <v>55</v>
      </c>
      <c r="C98" s="10" t="s">
        <v>90</v>
      </c>
      <c r="D98" s="10" t="s">
        <v>9</v>
      </c>
      <c r="E98" s="12">
        <v>57700.77</v>
      </c>
    </row>
    <row r="99" spans="1:5">
      <c r="A99" s="10" t="s">
        <v>88</v>
      </c>
      <c r="B99" s="10" t="s">
        <v>55</v>
      </c>
      <c r="C99" s="10" t="s">
        <v>90</v>
      </c>
      <c r="D99" s="10" t="s">
        <v>11</v>
      </c>
      <c r="E99" s="12">
        <v>37762.25</v>
      </c>
    </row>
    <row r="100" spans="1:5">
      <c r="A100" s="10" t="s">
        <v>88</v>
      </c>
      <c r="B100" s="10" t="s">
        <v>55</v>
      </c>
      <c r="C100" s="10" t="s">
        <v>91</v>
      </c>
      <c r="D100" s="10" t="s">
        <v>9</v>
      </c>
      <c r="E100" s="12">
        <v>66132.42999999999</v>
      </c>
    </row>
    <row r="101" spans="1:5">
      <c r="A101" s="10" t="s">
        <v>88</v>
      </c>
      <c r="B101" s="10" t="s">
        <v>55</v>
      </c>
      <c r="C101" s="10" t="s">
        <v>91</v>
      </c>
      <c r="D101" s="10" t="s">
        <v>11</v>
      </c>
      <c r="E101" s="12">
        <v>169214.13</v>
      </c>
    </row>
    <row r="102" spans="1:5">
      <c r="A102" s="10" t="s">
        <v>88</v>
      </c>
      <c r="B102" s="10" t="s">
        <v>55</v>
      </c>
      <c r="C102" s="10" t="s">
        <v>92</v>
      </c>
      <c r="D102" s="10" t="s">
        <v>9</v>
      </c>
      <c r="E102" s="12">
        <v>65195.74</v>
      </c>
    </row>
    <row r="103" spans="1:5">
      <c r="A103" s="10" t="s">
        <v>88</v>
      </c>
      <c r="B103" s="10" t="s">
        <v>55</v>
      </c>
      <c r="C103" s="10" t="s">
        <v>92</v>
      </c>
      <c r="D103" s="10" t="s">
        <v>11</v>
      </c>
      <c r="E103" s="12">
        <v>39123.82</v>
      </c>
    </row>
    <row r="104" spans="1:5">
      <c r="A104" s="10" t="s">
        <v>88</v>
      </c>
      <c r="B104" s="10" t="s">
        <v>55</v>
      </c>
      <c r="C104" s="10" t="s">
        <v>93</v>
      </c>
      <c r="D104" s="10" t="s">
        <v>9</v>
      </c>
      <c r="E104" s="12">
        <v>23859.26</v>
      </c>
    </row>
    <row r="105" spans="1:5">
      <c r="A105" s="10" t="s">
        <v>88</v>
      </c>
      <c r="B105" s="10" t="s">
        <v>55</v>
      </c>
      <c r="C105" s="10" t="s">
        <v>93</v>
      </c>
      <c r="D105" s="10" t="s">
        <v>11</v>
      </c>
      <c r="E105" s="12">
        <v>16232.68</v>
      </c>
    </row>
    <row r="106" spans="1:5">
      <c r="A106" s="10" t="s">
        <v>94</v>
      </c>
      <c r="B106" s="10" t="s">
        <v>34</v>
      </c>
      <c r="C106" s="10" t="s">
        <v>95</v>
      </c>
      <c r="D106" s="10" t="s">
        <v>9</v>
      </c>
      <c r="E106" s="12">
        <v>62730.8</v>
      </c>
    </row>
    <row r="107" spans="1:5">
      <c r="A107" s="10" t="s">
        <v>94</v>
      </c>
      <c r="B107" s="10" t="s">
        <v>34</v>
      </c>
      <c r="C107" s="10" t="s">
        <v>95</v>
      </c>
      <c r="D107" s="10" t="s">
        <v>11</v>
      </c>
      <c r="E107" s="12">
        <v>12726.34</v>
      </c>
    </row>
    <row r="108" spans="1:5">
      <c r="A108" s="10" t="s">
        <v>94</v>
      </c>
      <c r="B108" s="10" t="s">
        <v>34</v>
      </c>
      <c r="C108" s="10" t="s">
        <v>96</v>
      </c>
      <c r="D108" s="10" t="s">
        <v>9</v>
      </c>
      <c r="E108" s="12">
        <v>39314.86</v>
      </c>
    </row>
    <row r="109" spans="1:5">
      <c r="A109" s="10" t="s">
        <v>94</v>
      </c>
      <c r="B109" s="10" t="s">
        <v>34</v>
      </c>
      <c r="C109" s="10" t="s">
        <v>96</v>
      </c>
      <c r="D109" s="10" t="s">
        <v>11</v>
      </c>
      <c r="E109" s="12">
        <v>54037.85</v>
      </c>
    </row>
    <row r="110" spans="1:5">
      <c r="A110" s="10" t="s">
        <v>94</v>
      </c>
      <c r="B110" s="10" t="s">
        <v>34</v>
      </c>
      <c r="C110" s="10" t="s">
        <v>97</v>
      </c>
      <c r="D110" s="10" t="s">
        <v>9</v>
      </c>
      <c r="E110" s="12">
        <v>123895.8</v>
      </c>
    </row>
    <row r="111" spans="1:5">
      <c r="A111" s="10" t="s">
        <v>94</v>
      </c>
      <c r="B111" s="10" t="s">
        <v>34</v>
      </c>
      <c r="C111" s="10" t="s">
        <v>97</v>
      </c>
      <c r="D111" s="10" t="s">
        <v>11</v>
      </c>
      <c r="E111" s="12">
        <v>53975.22</v>
      </c>
    </row>
    <row r="112" spans="1:5">
      <c r="A112" s="10" t="s">
        <v>94</v>
      </c>
      <c r="B112" s="10" t="s">
        <v>34</v>
      </c>
      <c r="C112" s="10" t="s">
        <v>98</v>
      </c>
      <c r="D112" s="10" t="s">
        <v>9</v>
      </c>
      <c r="E112" s="12">
        <v>104534.12</v>
      </c>
    </row>
    <row r="113" spans="1:5">
      <c r="A113" s="10" t="s">
        <v>94</v>
      </c>
      <c r="B113" s="10" t="s">
        <v>34</v>
      </c>
      <c r="C113" s="10" t="s">
        <v>98</v>
      </c>
      <c r="D113" s="10" t="s">
        <v>11</v>
      </c>
      <c r="E113" s="12">
        <v>224440.22</v>
      </c>
    </row>
    <row r="114" spans="1:5">
      <c r="A114" s="10" t="s">
        <v>94</v>
      </c>
      <c r="B114" s="10" t="s">
        <v>34</v>
      </c>
      <c r="C114" s="10" t="s">
        <v>99</v>
      </c>
      <c r="D114" s="10" t="s">
        <v>9</v>
      </c>
      <c r="E114" s="12">
        <v>9015.74</v>
      </c>
    </row>
    <row r="115" spans="1:5">
      <c r="A115" s="10" t="s">
        <v>94</v>
      </c>
      <c r="B115" s="10" t="s">
        <v>34</v>
      </c>
      <c r="C115" s="10" t="s">
        <v>99</v>
      </c>
      <c r="D115" s="10" t="s">
        <v>11</v>
      </c>
      <c r="E115" s="12">
        <v>736.62</v>
      </c>
    </row>
    <row r="116" spans="1:5">
      <c r="A116" s="10" t="s">
        <v>100</v>
      </c>
      <c r="B116" s="10" t="s">
        <v>55</v>
      </c>
      <c r="C116" s="10" t="s">
        <v>101</v>
      </c>
      <c r="D116" s="10" t="s">
        <v>9</v>
      </c>
      <c r="E116" s="12">
        <v>52392.52</v>
      </c>
    </row>
    <row r="117" spans="1:5">
      <c r="A117" s="10" t="s">
        <v>100</v>
      </c>
      <c r="B117" s="10" t="s">
        <v>55</v>
      </c>
      <c r="C117" s="10" t="s">
        <v>101</v>
      </c>
      <c r="D117" s="10" t="s">
        <v>11</v>
      </c>
      <c r="E117" s="12">
        <v>32982.47</v>
      </c>
    </row>
    <row r="118" spans="1:5">
      <c r="A118" s="10" t="s">
        <v>100</v>
      </c>
      <c r="B118" s="10" t="s">
        <v>55</v>
      </c>
      <c r="C118" s="10" t="s">
        <v>102</v>
      </c>
      <c r="D118" s="10" t="s">
        <v>9</v>
      </c>
      <c r="E118" s="12">
        <v>86618.91</v>
      </c>
    </row>
    <row r="119" spans="1:5">
      <c r="A119" s="10" t="s">
        <v>100</v>
      </c>
      <c r="B119" s="10" t="s">
        <v>55</v>
      </c>
      <c r="C119" s="10" t="s">
        <v>102</v>
      </c>
      <c r="D119" s="10" t="s">
        <v>11</v>
      </c>
      <c r="E119" s="12">
        <v>16705.63</v>
      </c>
    </row>
    <row r="120" spans="1:5">
      <c r="A120" s="10" t="s">
        <v>100</v>
      </c>
      <c r="B120" s="10" t="s">
        <v>55</v>
      </c>
      <c r="C120" s="10" t="s">
        <v>103</v>
      </c>
      <c r="D120" s="10" t="s">
        <v>9</v>
      </c>
      <c r="E120" s="12">
        <v>300.38</v>
      </c>
    </row>
    <row r="121" spans="1:5">
      <c r="A121" s="10" t="s">
        <v>100</v>
      </c>
      <c r="B121" s="10" t="s">
        <v>55</v>
      </c>
      <c r="C121" s="10" t="s">
        <v>103</v>
      </c>
      <c r="D121" s="10" t="s">
        <v>11</v>
      </c>
      <c r="E121" s="12">
        <v>935.1900000000001</v>
      </c>
    </row>
    <row r="122" spans="1:5">
      <c r="A122" s="10" t="s">
        <v>104</v>
      </c>
      <c r="B122" s="10" t="s">
        <v>67</v>
      </c>
      <c r="C122" s="10" t="s">
        <v>105</v>
      </c>
      <c r="D122" s="10" t="s">
        <v>9</v>
      </c>
      <c r="E122" s="12">
        <v>17934.28</v>
      </c>
    </row>
    <row r="123" spans="1:5">
      <c r="A123" s="10" t="s">
        <v>104</v>
      </c>
      <c r="B123" s="10" t="s">
        <v>67</v>
      </c>
      <c r="C123" s="10" t="s">
        <v>105</v>
      </c>
      <c r="D123" s="10" t="s">
        <v>11</v>
      </c>
      <c r="E123" s="12">
        <v>17155.86</v>
      </c>
    </row>
    <row r="124" spans="1:5">
      <c r="A124" s="10" t="s">
        <v>104</v>
      </c>
      <c r="B124" s="10" t="s">
        <v>67</v>
      </c>
      <c r="C124" s="10" t="s">
        <v>106</v>
      </c>
      <c r="D124" s="10" t="s">
        <v>9</v>
      </c>
      <c r="E124" s="12">
        <v>12033.61</v>
      </c>
    </row>
    <row r="125" spans="1:5">
      <c r="A125" s="10" t="s">
        <v>104</v>
      </c>
      <c r="B125" s="10" t="s">
        <v>67</v>
      </c>
      <c r="C125" s="10" t="s">
        <v>106</v>
      </c>
      <c r="D125" s="10" t="s">
        <v>11</v>
      </c>
      <c r="E125" s="12">
        <v>851.22</v>
      </c>
    </row>
    <row r="126" spans="1:5">
      <c r="A126" s="10" t="s">
        <v>104</v>
      </c>
      <c r="B126" s="10" t="s">
        <v>67</v>
      </c>
      <c r="C126" s="10" t="s">
        <v>107</v>
      </c>
      <c r="D126" s="10" t="s">
        <v>9</v>
      </c>
      <c r="E126" s="12">
        <v>10389.29</v>
      </c>
    </row>
    <row r="127" spans="1:5">
      <c r="A127" s="10" t="s">
        <v>104</v>
      </c>
      <c r="B127" s="10" t="s">
        <v>67</v>
      </c>
      <c r="C127" s="10" t="s">
        <v>107</v>
      </c>
      <c r="D127" s="10" t="s">
        <v>11</v>
      </c>
      <c r="E127" s="12">
        <v>14590.8</v>
      </c>
    </row>
    <row r="128" spans="1:5">
      <c r="A128" s="10" t="s">
        <v>104</v>
      </c>
      <c r="B128" s="10" t="s">
        <v>67</v>
      </c>
      <c r="C128" s="10" t="s">
        <v>108</v>
      </c>
      <c r="D128" s="10" t="s">
        <v>9</v>
      </c>
      <c r="E128" s="12">
        <v>17403.26</v>
      </c>
    </row>
    <row r="129" spans="1:5">
      <c r="A129" s="10" t="s">
        <v>104</v>
      </c>
      <c r="B129" s="10" t="s">
        <v>67</v>
      </c>
      <c r="C129" s="10" t="s">
        <v>108</v>
      </c>
      <c r="D129" s="10" t="s">
        <v>11</v>
      </c>
      <c r="E129" s="12">
        <v>10955.98</v>
      </c>
    </row>
    <row r="130" spans="1:5">
      <c r="A130" s="10" t="s">
        <v>104</v>
      </c>
      <c r="B130" s="10" t="s">
        <v>67</v>
      </c>
      <c r="C130" s="10" t="s">
        <v>109</v>
      </c>
      <c r="D130" s="10" t="s">
        <v>9</v>
      </c>
      <c r="E130" s="12">
        <v>143616.32</v>
      </c>
    </row>
    <row r="131" spans="1:5">
      <c r="A131" s="10" t="s">
        <v>104</v>
      </c>
      <c r="B131" s="10" t="s">
        <v>67</v>
      </c>
      <c r="C131" s="10" t="s">
        <v>109</v>
      </c>
      <c r="D131" s="10" t="s">
        <v>11</v>
      </c>
      <c r="E131" s="12">
        <v>43546.34</v>
      </c>
    </row>
    <row r="132" spans="1:5">
      <c r="A132" s="10" t="s">
        <v>104</v>
      </c>
      <c r="B132" s="10" t="s">
        <v>67</v>
      </c>
      <c r="C132" s="10" t="s">
        <v>110</v>
      </c>
      <c r="D132" s="10" t="s">
        <v>9</v>
      </c>
      <c r="E132" s="12">
        <v>117591.99</v>
      </c>
    </row>
    <row r="133" spans="1:5">
      <c r="A133" s="10" t="s">
        <v>104</v>
      </c>
      <c r="B133" s="10" t="s">
        <v>67</v>
      </c>
      <c r="C133" s="10" t="s">
        <v>110</v>
      </c>
      <c r="D133" s="10" t="s">
        <v>11</v>
      </c>
      <c r="E133" s="12">
        <v>40958.7</v>
      </c>
    </row>
    <row r="134" spans="1:5">
      <c r="A134" s="10" t="s">
        <v>111</v>
      </c>
      <c r="B134" s="10" t="s">
        <v>67</v>
      </c>
      <c r="C134" s="10" t="s">
        <v>112</v>
      </c>
      <c r="D134" s="10" t="s">
        <v>9</v>
      </c>
      <c r="E134" s="12">
        <v>76135.83</v>
      </c>
    </row>
    <row r="135" spans="1:5">
      <c r="A135" s="10" t="s">
        <v>111</v>
      </c>
      <c r="B135" s="10" t="s">
        <v>67</v>
      </c>
      <c r="C135" s="10" t="s">
        <v>112</v>
      </c>
      <c r="D135" s="10" t="s">
        <v>11</v>
      </c>
      <c r="E135" s="12">
        <v>89726.13</v>
      </c>
    </row>
    <row r="136" spans="1:5">
      <c r="A136" s="10" t="s">
        <v>111</v>
      </c>
      <c r="B136" s="10" t="s">
        <v>67</v>
      </c>
      <c r="C136" s="10" t="s">
        <v>113</v>
      </c>
      <c r="D136" s="10" t="s">
        <v>9</v>
      </c>
      <c r="E136" s="12">
        <v>21607.42</v>
      </c>
    </row>
    <row r="137" spans="1:5">
      <c r="A137" s="10" t="s">
        <v>111</v>
      </c>
      <c r="B137" s="10" t="s">
        <v>67</v>
      </c>
      <c r="C137" s="10" t="s">
        <v>113</v>
      </c>
      <c r="D137" s="10" t="s">
        <v>11</v>
      </c>
      <c r="E137" s="12">
        <v>21164.7</v>
      </c>
    </row>
    <row r="138" spans="1:5">
      <c r="A138" s="10" t="s">
        <v>111</v>
      </c>
      <c r="B138" s="10" t="s">
        <v>67</v>
      </c>
      <c r="C138" s="10" t="s">
        <v>114</v>
      </c>
      <c r="D138" s="10" t="s">
        <v>9</v>
      </c>
      <c r="E138" s="12">
        <v>163879.81</v>
      </c>
    </row>
    <row r="139" spans="1:5">
      <c r="A139" s="10" t="s">
        <v>111</v>
      </c>
      <c r="B139" s="10" t="s">
        <v>67</v>
      </c>
      <c r="C139" s="10" t="s">
        <v>114</v>
      </c>
      <c r="D139" s="10" t="s">
        <v>11</v>
      </c>
      <c r="E139" s="12">
        <v>27006.84</v>
      </c>
    </row>
    <row r="140" spans="1:5">
      <c r="A140" s="10" t="s">
        <v>111</v>
      </c>
      <c r="B140" s="10" t="s">
        <v>67</v>
      </c>
      <c r="C140" s="10" t="s">
        <v>115</v>
      </c>
      <c r="D140" s="10" t="s">
        <v>11</v>
      </c>
      <c r="E140" s="12">
        <v>22090.11</v>
      </c>
    </row>
    <row r="141" spans="1:5">
      <c r="A141" s="10" t="s">
        <v>111</v>
      </c>
      <c r="B141" s="10" t="s">
        <v>67</v>
      </c>
      <c r="C141" s="10" t="s">
        <v>116</v>
      </c>
      <c r="D141" s="10" t="s">
        <v>9</v>
      </c>
      <c r="E141" s="12">
        <v>163310.55</v>
      </c>
    </row>
    <row r="142" spans="1:5">
      <c r="A142" s="10" t="s">
        <v>111</v>
      </c>
      <c r="B142" s="10" t="s">
        <v>67</v>
      </c>
      <c r="C142" s="10" t="s">
        <v>116</v>
      </c>
      <c r="D142" s="10" t="s">
        <v>11</v>
      </c>
      <c r="E142" s="12">
        <v>111996.98</v>
      </c>
    </row>
    <row r="143" spans="1:5">
      <c r="A143" s="10" t="s">
        <v>111</v>
      </c>
      <c r="B143" s="10" t="s">
        <v>67</v>
      </c>
      <c r="C143" s="10" t="s">
        <v>117</v>
      </c>
      <c r="D143" s="10" t="s">
        <v>9</v>
      </c>
      <c r="E143" s="12">
        <v>375074.17</v>
      </c>
    </row>
    <row r="144" spans="1:5">
      <c r="A144" s="10" t="s">
        <v>111</v>
      </c>
      <c r="B144" s="10" t="s">
        <v>67</v>
      </c>
      <c r="C144" s="10" t="s">
        <v>117</v>
      </c>
      <c r="D144" s="10" t="s">
        <v>11</v>
      </c>
      <c r="E144" s="12">
        <v>164704.73</v>
      </c>
    </row>
    <row r="145" spans="1:5">
      <c r="A145" s="10" t="s">
        <v>111</v>
      </c>
      <c r="B145" s="10" t="s">
        <v>67</v>
      </c>
      <c r="C145" s="10" t="s">
        <v>118</v>
      </c>
      <c r="D145" s="10" t="s">
        <v>9</v>
      </c>
      <c r="E145" s="12">
        <v>123993.3</v>
      </c>
    </row>
    <row r="146" spans="1:5">
      <c r="A146" s="10" t="s">
        <v>111</v>
      </c>
      <c r="B146" s="10" t="s">
        <v>67</v>
      </c>
      <c r="C146" s="10" t="s">
        <v>118</v>
      </c>
      <c r="D146" s="10" t="s">
        <v>11</v>
      </c>
      <c r="E146" s="12">
        <v>326765.62</v>
      </c>
    </row>
    <row r="147" spans="1:5">
      <c r="A147" s="10" t="s">
        <v>111</v>
      </c>
      <c r="B147" s="10" t="s">
        <v>67</v>
      </c>
      <c r="C147" s="10" t="s">
        <v>119</v>
      </c>
      <c r="D147" s="10" t="s">
        <v>9</v>
      </c>
      <c r="E147" s="12">
        <v>50032.53</v>
      </c>
    </row>
    <row r="148" spans="1:5">
      <c r="A148" s="10" t="s">
        <v>111</v>
      </c>
      <c r="B148" s="10" t="s">
        <v>67</v>
      </c>
      <c r="C148" s="10" t="s">
        <v>119</v>
      </c>
      <c r="D148" s="10" t="s">
        <v>11</v>
      </c>
      <c r="E148" s="12">
        <v>70887.67</v>
      </c>
    </row>
    <row r="149" spans="1:5">
      <c r="A149" s="10" t="s">
        <v>111</v>
      </c>
      <c r="B149" s="10" t="s">
        <v>67</v>
      </c>
      <c r="C149" s="10" t="s">
        <v>120</v>
      </c>
      <c r="D149" s="10" t="s">
        <v>9</v>
      </c>
      <c r="E149" s="12">
        <v>100181.42</v>
      </c>
    </row>
    <row r="150" spans="1:5">
      <c r="A150" s="10" t="s">
        <v>111</v>
      </c>
      <c r="B150" s="10" t="s">
        <v>67</v>
      </c>
      <c r="C150" s="10" t="s">
        <v>120</v>
      </c>
      <c r="D150" s="10" t="s">
        <v>11</v>
      </c>
      <c r="E150" s="12">
        <v>87419.39999999999</v>
      </c>
    </row>
    <row r="151" spans="1:5">
      <c r="A151" s="10" t="s">
        <v>111</v>
      </c>
      <c r="B151" s="10" t="s">
        <v>67</v>
      </c>
      <c r="C151" s="10" t="s">
        <v>121</v>
      </c>
      <c r="D151" s="10" t="s">
        <v>9</v>
      </c>
      <c r="E151" s="12">
        <v>101590.42</v>
      </c>
    </row>
    <row r="152" spans="1:5">
      <c r="A152" s="10" t="s">
        <v>111</v>
      </c>
      <c r="B152" s="10" t="s">
        <v>67</v>
      </c>
      <c r="C152" s="10" t="s">
        <v>121</v>
      </c>
      <c r="D152" s="10" t="s">
        <v>11</v>
      </c>
      <c r="E152" s="12">
        <v>14798.25</v>
      </c>
    </row>
    <row r="153" spans="1:5">
      <c r="A153" s="10" t="s">
        <v>111</v>
      </c>
      <c r="B153" s="10" t="s">
        <v>67</v>
      </c>
      <c r="C153" s="10" t="s">
        <v>122</v>
      </c>
      <c r="D153" s="10" t="s">
        <v>9</v>
      </c>
      <c r="E153" s="12">
        <v>12378.53</v>
      </c>
    </row>
    <row r="154" spans="1:5">
      <c r="A154" s="10" t="s">
        <v>111</v>
      </c>
      <c r="B154" s="10" t="s">
        <v>67</v>
      </c>
      <c r="C154" s="10" t="s">
        <v>122</v>
      </c>
      <c r="D154" s="10" t="s">
        <v>11</v>
      </c>
      <c r="E154" s="12">
        <v>9218.940000000001</v>
      </c>
    </row>
    <row r="155" spans="1:5">
      <c r="A155" s="10" t="s">
        <v>123</v>
      </c>
      <c r="B155" s="10" t="s">
        <v>67</v>
      </c>
      <c r="C155" s="10" t="s">
        <v>124</v>
      </c>
      <c r="D155" s="10" t="s">
        <v>9</v>
      </c>
      <c r="E155" s="12">
        <v>46562.98</v>
      </c>
    </row>
    <row r="156" spans="1:5">
      <c r="A156" s="10" t="s">
        <v>123</v>
      </c>
      <c r="B156" s="10" t="s">
        <v>67</v>
      </c>
      <c r="C156" s="10" t="s">
        <v>124</v>
      </c>
      <c r="D156" s="10" t="s">
        <v>11</v>
      </c>
      <c r="E156" s="12">
        <v>59432.34</v>
      </c>
    </row>
    <row r="157" spans="1:5">
      <c r="A157" s="10" t="s">
        <v>123</v>
      </c>
      <c r="B157" s="10" t="s">
        <v>67</v>
      </c>
      <c r="C157" s="10" t="s">
        <v>125</v>
      </c>
      <c r="D157" s="10" t="s">
        <v>9</v>
      </c>
      <c r="E157" s="12">
        <v>0</v>
      </c>
    </row>
    <row r="158" spans="1:5">
      <c r="A158" s="10" t="s">
        <v>123</v>
      </c>
      <c r="B158" s="10" t="s">
        <v>67</v>
      </c>
      <c r="C158" s="10" t="s">
        <v>125</v>
      </c>
      <c r="D158" s="10" t="s">
        <v>11</v>
      </c>
      <c r="E158" s="12">
        <v>20097.82</v>
      </c>
    </row>
    <row r="159" spans="1:5">
      <c r="A159" s="10" t="s">
        <v>123</v>
      </c>
      <c r="B159" s="10" t="s">
        <v>67</v>
      </c>
      <c r="C159" s="10" t="s">
        <v>126</v>
      </c>
      <c r="D159" s="10" t="s">
        <v>9</v>
      </c>
      <c r="E159" s="12">
        <v>67153.39</v>
      </c>
    </row>
    <row r="160" spans="1:5">
      <c r="A160" s="10" t="s">
        <v>123</v>
      </c>
      <c r="B160" s="10" t="s">
        <v>67</v>
      </c>
      <c r="C160" s="10" t="s">
        <v>126</v>
      </c>
      <c r="D160" s="10" t="s">
        <v>11</v>
      </c>
      <c r="E160" s="12">
        <v>89043.31</v>
      </c>
    </row>
    <row r="161" spans="1:5">
      <c r="A161" s="10" t="s">
        <v>123</v>
      </c>
      <c r="B161" s="10" t="s">
        <v>67</v>
      </c>
      <c r="C161" s="10" t="s">
        <v>127</v>
      </c>
      <c r="D161" s="10" t="s">
        <v>9</v>
      </c>
      <c r="E161" s="12">
        <v>11681.55</v>
      </c>
    </row>
    <row r="162" spans="1:5">
      <c r="A162" s="10" t="s">
        <v>123</v>
      </c>
      <c r="B162" s="10" t="s">
        <v>67</v>
      </c>
      <c r="C162" s="10" t="s">
        <v>127</v>
      </c>
      <c r="D162" s="10" t="s">
        <v>11</v>
      </c>
      <c r="E162" s="12">
        <v>21899.17</v>
      </c>
    </row>
    <row r="163" spans="1:5">
      <c r="A163" s="10" t="s">
        <v>123</v>
      </c>
      <c r="B163" s="10" t="s">
        <v>67</v>
      </c>
      <c r="C163" s="10" t="s">
        <v>128</v>
      </c>
      <c r="D163" s="10" t="s">
        <v>9</v>
      </c>
      <c r="E163" s="12">
        <v>1128961.96</v>
      </c>
    </row>
    <row r="164" spans="1:5">
      <c r="A164" s="10" t="s">
        <v>123</v>
      </c>
      <c r="B164" s="10" t="s">
        <v>67</v>
      </c>
      <c r="C164" s="10" t="s">
        <v>128</v>
      </c>
      <c r="D164" s="10" t="s">
        <v>11</v>
      </c>
      <c r="E164" s="12">
        <v>704639.62</v>
      </c>
    </row>
    <row r="165" spans="1:5">
      <c r="A165" s="10" t="s">
        <v>123</v>
      </c>
      <c r="B165" s="10" t="s">
        <v>67</v>
      </c>
      <c r="C165" s="10" t="s">
        <v>129</v>
      </c>
      <c r="D165" s="10" t="s">
        <v>9</v>
      </c>
      <c r="E165" s="12">
        <v>243678.81</v>
      </c>
    </row>
    <row r="166" spans="1:5">
      <c r="A166" s="10" t="s">
        <v>123</v>
      </c>
      <c r="B166" s="10" t="s">
        <v>67</v>
      </c>
      <c r="C166" s="10" t="s">
        <v>129</v>
      </c>
      <c r="D166" s="10" t="s">
        <v>11</v>
      </c>
      <c r="E166" s="12">
        <v>328291.76</v>
      </c>
    </row>
    <row r="167" spans="1:5">
      <c r="A167" s="10" t="s">
        <v>123</v>
      </c>
      <c r="B167" s="10" t="s">
        <v>67</v>
      </c>
      <c r="C167" s="10" t="s">
        <v>130</v>
      </c>
      <c r="D167" s="10" t="s">
        <v>9</v>
      </c>
      <c r="E167" s="12">
        <v>277039.09</v>
      </c>
    </row>
    <row r="168" spans="1:5">
      <c r="A168" s="10" t="s">
        <v>123</v>
      </c>
      <c r="B168" s="10" t="s">
        <v>67</v>
      </c>
      <c r="C168" s="10" t="s">
        <v>130</v>
      </c>
      <c r="D168" s="10" t="s">
        <v>11</v>
      </c>
      <c r="E168" s="12">
        <v>29848.07</v>
      </c>
    </row>
    <row r="169" spans="1:5">
      <c r="A169" s="10" t="s">
        <v>123</v>
      </c>
      <c r="B169" s="10" t="s">
        <v>67</v>
      </c>
      <c r="C169" s="10" t="s">
        <v>131</v>
      </c>
      <c r="D169" s="10" t="s">
        <v>9</v>
      </c>
      <c r="E169" s="12">
        <v>173115.95</v>
      </c>
    </row>
    <row r="170" spans="1:5">
      <c r="A170" s="10" t="s">
        <v>123</v>
      </c>
      <c r="B170" s="10" t="s">
        <v>67</v>
      </c>
      <c r="C170" s="10" t="s">
        <v>131</v>
      </c>
      <c r="D170" s="10" t="s">
        <v>11</v>
      </c>
      <c r="E170" s="12">
        <v>23233.01</v>
      </c>
    </row>
    <row r="171" spans="1:5">
      <c r="A171" s="10" t="s">
        <v>123</v>
      </c>
      <c r="B171" s="10" t="s">
        <v>67</v>
      </c>
      <c r="C171" s="10" t="s">
        <v>132</v>
      </c>
      <c r="D171" s="10" t="s">
        <v>9</v>
      </c>
      <c r="E171" s="12">
        <v>233632.69</v>
      </c>
    </row>
    <row r="172" spans="1:5">
      <c r="A172" s="10" t="s">
        <v>123</v>
      </c>
      <c r="B172" s="10" t="s">
        <v>67</v>
      </c>
      <c r="C172" s="10" t="s">
        <v>132</v>
      </c>
      <c r="D172" s="10" t="s">
        <v>11</v>
      </c>
      <c r="E172" s="12">
        <v>231084.75</v>
      </c>
    </row>
    <row r="173" spans="1:5">
      <c r="A173" s="10" t="s">
        <v>123</v>
      </c>
      <c r="B173" s="10" t="s">
        <v>67</v>
      </c>
      <c r="C173" s="10" t="s">
        <v>133</v>
      </c>
      <c r="D173" s="10" t="s">
        <v>9</v>
      </c>
      <c r="E173" s="12">
        <v>196018.55</v>
      </c>
    </row>
    <row r="174" spans="1:5">
      <c r="A174" s="10" t="s">
        <v>123</v>
      </c>
      <c r="B174" s="10" t="s">
        <v>67</v>
      </c>
      <c r="C174" s="10" t="s">
        <v>133</v>
      </c>
      <c r="D174" s="10" t="s">
        <v>11</v>
      </c>
      <c r="E174" s="12">
        <v>140479.4</v>
      </c>
    </row>
    <row r="175" spans="1:5">
      <c r="A175" s="10" t="s">
        <v>123</v>
      </c>
      <c r="B175" s="10" t="s">
        <v>67</v>
      </c>
      <c r="C175" s="10" t="s">
        <v>134</v>
      </c>
      <c r="D175" s="10" t="s">
        <v>9</v>
      </c>
      <c r="E175" s="12">
        <v>17740.48</v>
      </c>
    </row>
    <row r="176" spans="1:5">
      <c r="A176" s="10" t="s">
        <v>123</v>
      </c>
      <c r="B176" s="10" t="s">
        <v>67</v>
      </c>
      <c r="C176" s="10" t="s">
        <v>134</v>
      </c>
      <c r="D176" s="10" t="s">
        <v>11</v>
      </c>
      <c r="E176" s="12">
        <v>12799.75</v>
      </c>
    </row>
    <row r="177" spans="1:5">
      <c r="A177" s="10" t="s">
        <v>123</v>
      </c>
      <c r="B177" s="10" t="s">
        <v>67</v>
      </c>
      <c r="C177" s="10" t="s">
        <v>135</v>
      </c>
      <c r="D177" s="10" t="s">
        <v>9</v>
      </c>
      <c r="E177" s="12">
        <v>21277.08</v>
      </c>
    </row>
    <row r="178" spans="1:5">
      <c r="A178" s="10" t="s">
        <v>123</v>
      </c>
      <c r="B178" s="10" t="s">
        <v>67</v>
      </c>
      <c r="C178" s="10" t="s">
        <v>135</v>
      </c>
      <c r="D178" s="10" t="s">
        <v>11</v>
      </c>
      <c r="E178" s="12">
        <v>72319.32000000001</v>
      </c>
    </row>
    <row r="179" spans="1:5">
      <c r="A179" s="10" t="s">
        <v>123</v>
      </c>
      <c r="B179" s="10" t="s">
        <v>67</v>
      </c>
      <c r="C179" s="10" t="s">
        <v>136</v>
      </c>
      <c r="D179" s="10" t="s">
        <v>9</v>
      </c>
      <c r="E179" s="12">
        <v>70777.60000000001</v>
      </c>
    </row>
    <row r="180" spans="1:5">
      <c r="A180" s="10" t="s">
        <v>123</v>
      </c>
      <c r="B180" s="10" t="s">
        <v>67</v>
      </c>
      <c r="C180" s="10" t="s">
        <v>136</v>
      </c>
      <c r="D180" s="10" t="s">
        <v>11</v>
      </c>
      <c r="E180" s="12">
        <v>41118.92</v>
      </c>
    </row>
    <row r="181" spans="1:5">
      <c r="A181" s="10" t="s">
        <v>123</v>
      </c>
      <c r="B181" s="10" t="s">
        <v>67</v>
      </c>
      <c r="C181" s="10" t="s">
        <v>137</v>
      </c>
      <c r="D181" s="10" t="s">
        <v>9</v>
      </c>
      <c r="E181" s="12">
        <v>101544.71</v>
      </c>
    </row>
    <row r="182" spans="1:5">
      <c r="A182" s="10" t="s">
        <v>123</v>
      </c>
      <c r="B182" s="10" t="s">
        <v>67</v>
      </c>
      <c r="C182" s="10" t="s">
        <v>137</v>
      </c>
      <c r="D182" s="10" t="s">
        <v>11</v>
      </c>
      <c r="E182" s="12">
        <v>38009.71</v>
      </c>
    </row>
    <row r="183" spans="1:5">
      <c r="A183" s="10" t="s">
        <v>123</v>
      </c>
      <c r="B183" s="10" t="s">
        <v>67</v>
      </c>
      <c r="C183" s="10" t="s">
        <v>138</v>
      </c>
      <c r="D183" s="10" t="s">
        <v>9</v>
      </c>
      <c r="E183" s="12">
        <v>36444.42</v>
      </c>
    </row>
    <row r="184" spans="1:5">
      <c r="A184" s="10" t="s">
        <v>123</v>
      </c>
      <c r="B184" s="10" t="s">
        <v>67</v>
      </c>
      <c r="C184" s="10" t="s">
        <v>138</v>
      </c>
      <c r="D184" s="10" t="s">
        <v>11</v>
      </c>
      <c r="E184" s="12">
        <v>33555.97</v>
      </c>
    </row>
    <row r="185" spans="1:5">
      <c r="A185" s="10" t="s">
        <v>123</v>
      </c>
      <c r="B185" s="10" t="s">
        <v>67</v>
      </c>
      <c r="C185" s="10" t="s">
        <v>139</v>
      </c>
      <c r="D185" s="10" t="s">
        <v>9</v>
      </c>
      <c r="E185" s="12">
        <v>108498.74</v>
      </c>
    </row>
    <row r="186" spans="1:5">
      <c r="A186" s="10" t="s">
        <v>123</v>
      </c>
      <c r="B186" s="10" t="s">
        <v>67</v>
      </c>
      <c r="C186" s="10" t="s">
        <v>139</v>
      </c>
      <c r="D186" s="10" t="s">
        <v>11</v>
      </c>
      <c r="E186" s="12">
        <v>90348.38</v>
      </c>
    </row>
    <row r="187" spans="1:5">
      <c r="A187" s="10" t="s">
        <v>140</v>
      </c>
      <c r="B187" s="10" t="s">
        <v>67</v>
      </c>
      <c r="C187" s="10" t="s">
        <v>141</v>
      </c>
      <c r="D187" s="10" t="s">
        <v>9</v>
      </c>
      <c r="E187" s="12">
        <v>28722.74</v>
      </c>
    </row>
    <row r="188" spans="1:5">
      <c r="A188" s="10" t="s">
        <v>140</v>
      </c>
      <c r="B188" s="10" t="s">
        <v>67</v>
      </c>
      <c r="C188" s="10" t="s">
        <v>141</v>
      </c>
      <c r="D188" s="10" t="s">
        <v>11</v>
      </c>
      <c r="E188" s="12">
        <v>16803.44</v>
      </c>
    </row>
    <row r="189" spans="1:5">
      <c r="A189" s="10" t="s">
        <v>140</v>
      </c>
      <c r="B189" s="10" t="s">
        <v>67</v>
      </c>
      <c r="C189" s="10" t="s">
        <v>142</v>
      </c>
      <c r="D189" s="10" t="s">
        <v>9</v>
      </c>
      <c r="E189" s="12">
        <v>505.64</v>
      </c>
    </row>
    <row r="190" spans="1:5">
      <c r="A190" s="10" t="s">
        <v>140</v>
      </c>
      <c r="B190" s="10" t="s">
        <v>67</v>
      </c>
      <c r="C190" s="10" t="s">
        <v>142</v>
      </c>
      <c r="D190" s="10" t="s">
        <v>11</v>
      </c>
      <c r="E190" s="12">
        <v>-1087.87</v>
      </c>
    </row>
    <row r="191" spans="1:5">
      <c r="A191" s="10" t="s">
        <v>140</v>
      </c>
      <c r="B191" s="10" t="s">
        <v>67</v>
      </c>
      <c r="C191" s="10" t="s">
        <v>143</v>
      </c>
      <c r="D191" s="10" t="s">
        <v>9</v>
      </c>
      <c r="E191" s="12">
        <v>7327.97</v>
      </c>
    </row>
    <row r="192" spans="1:5">
      <c r="A192" s="10" t="s">
        <v>140</v>
      </c>
      <c r="B192" s="10" t="s">
        <v>67</v>
      </c>
      <c r="C192" s="10" t="s">
        <v>143</v>
      </c>
      <c r="D192" s="10" t="s">
        <v>11</v>
      </c>
      <c r="E192" s="12">
        <v>57735.41</v>
      </c>
    </row>
    <row r="193" spans="1:5">
      <c r="A193" s="10" t="s">
        <v>144</v>
      </c>
      <c r="B193" s="10" t="s">
        <v>34</v>
      </c>
      <c r="C193" s="10" t="s">
        <v>145</v>
      </c>
      <c r="D193" s="10" t="s">
        <v>9</v>
      </c>
      <c r="E193" s="12">
        <v>359917.66</v>
      </c>
    </row>
    <row r="194" spans="1:5">
      <c r="A194" s="10" t="s">
        <v>144</v>
      </c>
      <c r="B194" s="10" t="s">
        <v>34</v>
      </c>
      <c r="C194" s="10" t="s">
        <v>145</v>
      </c>
      <c r="D194" s="10" t="s">
        <v>11</v>
      </c>
      <c r="E194" s="12">
        <v>306617.88</v>
      </c>
    </row>
    <row r="195" spans="1:5">
      <c r="A195" s="10" t="s">
        <v>144</v>
      </c>
      <c r="B195" s="10" t="s">
        <v>34</v>
      </c>
      <c r="C195" s="10" t="s">
        <v>146</v>
      </c>
      <c r="D195" s="10" t="s">
        <v>9</v>
      </c>
      <c r="E195" s="12">
        <v>341809.39</v>
      </c>
    </row>
    <row r="196" spans="1:5">
      <c r="A196" s="10" t="s">
        <v>144</v>
      </c>
      <c r="B196" s="10" t="s">
        <v>34</v>
      </c>
      <c r="C196" s="10" t="s">
        <v>146</v>
      </c>
      <c r="D196" s="10" t="s">
        <v>11</v>
      </c>
      <c r="E196" s="12">
        <v>633756.63</v>
      </c>
    </row>
    <row r="197" spans="1:5">
      <c r="A197" s="10" t="s">
        <v>144</v>
      </c>
      <c r="B197" s="10" t="s">
        <v>34</v>
      </c>
      <c r="C197" s="10" t="s">
        <v>147</v>
      </c>
      <c r="D197" s="10" t="s">
        <v>9</v>
      </c>
      <c r="E197" s="12">
        <v>180452.07</v>
      </c>
    </row>
    <row r="198" spans="1:5">
      <c r="A198" s="10" t="s">
        <v>144</v>
      </c>
      <c r="B198" s="10" t="s">
        <v>34</v>
      </c>
      <c r="C198" s="10" t="s">
        <v>147</v>
      </c>
      <c r="D198" s="10" t="s">
        <v>11</v>
      </c>
      <c r="E198" s="12">
        <v>153940.45</v>
      </c>
    </row>
    <row r="199" spans="1:5">
      <c r="A199" s="10" t="s">
        <v>144</v>
      </c>
      <c r="B199" s="10" t="s">
        <v>34</v>
      </c>
      <c r="C199" s="10" t="s">
        <v>148</v>
      </c>
      <c r="D199" s="10" t="s">
        <v>9</v>
      </c>
      <c r="E199" s="12">
        <v>92966.88</v>
      </c>
    </row>
    <row r="200" spans="1:5">
      <c r="A200" s="10" t="s">
        <v>144</v>
      </c>
      <c r="B200" s="10" t="s">
        <v>34</v>
      </c>
      <c r="C200" s="10" t="s">
        <v>148</v>
      </c>
      <c r="D200" s="10" t="s">
        <v>11</v>
      </c>
      <c r="E200" s="12">
        <v>104528.22</v>
      </c>
    </row>
    <row r="201" spans="1:5">
      <c r="A201" s="10" t="s">
        <v>144</v>
      </c>
      <c r="B201" s="10" t="s">
        <v>34</v>
      </c>
      <c r="C201" s="10" t="s">
        <v>149</v>
      </c>
      <c r="D201" s="10" t="s">
        <v>9</v>
      </c>
      <c r="E201" s="12">
        <v>66172.67</v>
      </c>
    </row>
    <row r="202" spans="1:5">
      <c r="A202" s="10" t="s">
        <v>144</v>
      </c>
      <c r="B202" s="10" t="s">
        <v>34</v>
      </c>
      <c r="C202" s="10" t="s">
        <v>149</v>
      </c>
      <c r="D202" s="10" t="s">
        <v>11</v>
      </c>
      <c r="E202" s="12">
        <v>77046.89999999999</v>
      </c>
    </row>
    <row r="203" spans="1:5">
      <c r="A203" s="10" t="s">
        <v>144</v>
      </c>
      <c r="B203" s="10" t="s">
        <v>34</v>
      </c>
      <c r="C203" s="10" t="s">
        <v>150</v>
      </c>
      <c r="D203" s="10" t="s">
        <v>9</v>
      </c>
      <c r="E203" s="12">
        <v>92665.94</v>
      </c>
    </row>
    <row r="204" spans="1:5">
      <c r="A204" s="10" t="s">
        <v>144</v>
      </c>
      <c r="B204" s="10" t="s">
        <v>34</v>
      </c>
      <c r="C204" s="10" t="s">
        <v>150</v>
      </c>
      <c r="D204" s="10" t="s">
        <v>11</v>
      </c>
      <c r="E204" s="12">
        <v>11093.12</v>
      </c>
    </row>
    <row r="205" spans="1:5">
      <c r="A205" s="10" t="s">
        <v>144</v>
      </c>
      <c r="B205" s="10" t="s">
        <v>34</v>
      </c>
      <c r="C205" s="10" t="s">
        <v>151</v>
      </c>
      <c r="D205" s="10" t="s">
        <v>9</v>
      </c>
      <c r="E205" s="12">
        <v>2579.12</v>
      </c>
    </row>
    <row r="206" spans="1:5">
      <c r="A206" s="10" t="s">
        <v>144</v>
      </c>
      <c r="B206" s="10" t="s">
        <v>34</v>
      </c>
      <c r="C206" s="10" t="s">
        <v>151</v>
      </c>
      <c r="D206" s="10" t="s">
        <v>11</v>
      </c>
      <c r="E206" s="12">
        <v>5737.22</v>
      </c>
    </row>
    <row r="207" spans="1:5">
      <c r="A207" s="10" t="s">
        <v>152</v>
      </c>
      <c r="B207" s="10" t="s">
        <v>34</v>
      </c>
      <c r="C207" s="10" t="s">
        <v>153</v>
      </c>
      <c r="D207" s="10" t="s">
        <v>9</v>
      </c>
      <c r="E207" s="12">
        <v>26924.56</v>
      </c>
    </row>
    <row r="208" spans="1:5">
      <c r="A208" s="10" t="s">
        <v>152</v>
      </c>
      <c r="B208" s="10" t="s">
        <v>34</v>
      </c>
      <c r="C208" s="10" t="s">
        <v>153</v>
      </c>
      <c r="D208" s="10" t="s">
        <v>11</v>
      </c>
      <c r="E208" s="12">
        <v>2896.12</v>
      </c>
    </row>
    <row r="209" spans="1:5">
      <c r="A209" s="10" t="s">
        <v>152</v>
      </c>
      <c r="B209" s="10" t="s">
        <v>34</v>
      </c>
      <c r="C209" s="10" t="s">
        <v>154</v>
      </c>
      <c r="D209" s="10" t="s">
        <v>9</v>
      </c>
      <c r="E209" s="12">
        <v>19440.53</v>
      </c>
    </row>
    <row r="210" spans="1:5">
      <c r="A210" s="10" t="s">
        <v>152</v>
      </c>
      <c r="B210" s="10" t="s">
        <v>34</v>
      </c>
      <c r="C210" s="10" t="s">
        <v>154</v>
      </c>
      <c r="D210" s="10" t="s">
        <v>11</v>
      </c>
      <c r="E210" s="12">
        <v>60819.26</v>
      </c>
    </row>
    <row r="211" spans="1:5">
      <c r="A211" s="10" t="s">
        <v>152</v>
      </c>
      <c r="B211" s="10" t="s">
        <v>34</v>
      </c>
      <c r="C211" s="10" t="s">
        <v>155</v>
      </c>
      <c r="D211" s="10" t="s">
        <v>9</v>
      </c>
      <c r="E211" s="12">
        <v>28145.03</v>
      </c>
    </row>
    <row r="212" spans="1:5">
      <c r="A212" s="10" t="s">
        <v>152</v>
      </c>
      <c r="B212" s="10" t="s">
        <v>34</v>
      </c>
      <c r="C212" s="10" t="s">
        <v>155</v>
      </c>
      <c r="D212" s="10" t="s">
        <v>11</v>
      </c>
      <c r="E212" s="12">
        <v>58903.61</v>
      </c>
    </row>
    <row r="213" spans="1:5">
      <c r="A213" s="10" t="s">
        <v>152</v>
      </c>
      <c r="B213" s="10" t="s">
        <v>34</v>
      </c>
      <c r="C213" s="10" t="s">
        <v>156</v>
      </c>
      <c r="D213" s="10" t="s">
        <v>9</v>
      </c>
      <c r="E213" s="12">
        <v>92.48999999999999</v>
      </c>
    </row>
    <row r="214" spans="1:5">
      <c r="A214" s="10" t="s">
        <v>152</v>
      </c>
      <c r="B214" s="10" t="s">
        <v>34</v>
      </c>
      <c r="C214" s="10" t="s">
        <v>156</v>
      </c>
      <c r="D214" s="10" t="s">
        <v>11</v>
      </c>
      <c r="E214" s="12">
        <v>23897.72</v>
      </c>
    </row>
    <row r="215" spans="1:5">
      <c r="A215" s="10" t="s">
        <v>152</v>
      </c>
      <c r="B215" s="10" t="s">
        <v>34</v>
      </c>
      <c r="C215" s="10" t="s">
        <v>157</v>
      </c>
      <c r="D215" s="10" t="s">
        <v>9</v>
      </c>
      <c r="E215" s="12">
        <v>28.42</v>
      </c>
    </row>
    <row r="216" spans="1:5">
      <c r="A216" s="10" t="s">
        <v>152</v>
      </c>
      <c r="B216" s="10" t="s">
        <v>34</v>
      </c>
      <c r="C216" s="10" t="s">
        <v>157</v>
      </c>
      <c r="D216" s="10" t="s">
        <v>11</v>
      </c>
      <c r="E216" s="12">
        <v>26943.31</v>
      </c>
    </row>
    <row r="217" spans="1:5">
      <c r="A217" s="10" t="s">
        <v>152</v>
      </c>
      <c r="B217" s="10" t="s">
        <v>34</v>
      </c>
      <c r="C217" s="10" t="s">
        <v>158</v>
      </c>
      <c r="D217" s="10" t="s">
        <v>9</v>
      </c>
      <c r="E217" s="12">
        <v>0</v>
      </c>
    </row>
    <row r="218" spans="1:5">
      <c r="A218" s="10" t="s">
        <v>152</v>
      </c>
      <c r="B218" s="10" t="s">
        <v>34</v>
      </c>
      <c r="C218" s="10" t="s">
        <v>158</v>
      </c>
      <c r="D218" s="10" t="s">
        <v>11</v>
      </c>
      <c r="E218" s="12">
        <v>152.12</v>
      </c>
    </row>
    <row r="219" spans="1:5">
      <c r="A219" s="10" t="s">
        <v>159</v>
      </c>
      <c r="B219" s="10" t="s">
        <v>34</v>
      </c>
      <c r="C219" s="10" t="s">
        <v>160</v>
      </c>
      <c r="D219" s="10" t="s">
        <v>9</v>
      </c>
      <c r="E219" s="12">
        <v>32016.31</v>
      </c>
    </row>
    <row r="220" spans="1:5">
      <c r="A220" s="10" t="s">
        <v>159</v>
      </c>
      <c r="B220" s="10" t="s">
        <v>34</v>
      </c>
      <c r="C220" s="10" t="s">
        <v>160</v>
      </c>
      <c r="D220" s="10" t="s">
        <v>11</v>
      </c>
      <c r="E220" s="12">
        <v>30085.96</v>
      </c>
    </row>
    <row r="221" spans="1:5">
      <c r="A221" s="10" t="s">
        <v>161</v>
      </c>
      <c r="B221" s="10" t="s">
        <v>67</v>
      </c>
      <c r="C221" s="10" t="s">
        <v>162</v>
      </c>
      <c r="D221" s="10" t="s">
        <v>9</v>
      </c>
      <c r="E221" s="12">
        <v>133285.87</v>
      </c>
    </row>
    <row r="222" spans="1:5">
      <c r="A222" s="10" t="s">
        <v>161</v>
      </c>
      <c r="B222" s="10" t="s">
        <v>67</v>
      </c>
      <c r="C222" s="10" t="s">
        <v>162</v>
      </c>
      <c r="D222" s="10" t="s">
        <v>11</v>
      </c>
      <c r="E222" s="12">
        <v>65939.94</v>
      </c>
    </row>
    <row r="223" spans="1:5">
      <c r="A223" s="10" t="s">
        <v>161</v>
      </c>
      <c r="B223" s="10" t="s">
        <v>67</v>
      </c>
      <c r="C223" s="10" t="s">
        <v>163</v>
      </c>
      <c r="D223" s="10" t="s">
        <v>9</v>
      </c>
      <c r="E223" s="12">
        <v>31603.1</v>
      </c>
    </row>
    <row r="224" spans="1:5">
      <c r="A224" s="10" t="s">
        <v>161</v>
      </c>
      <c r="B224" s="10" t="s">
        <v>67</v>
      </c>
      <c r="C224" s="10" t="s">
        <v>163</v>
      </c>
      <c r="D224" s="10" t="s">
        <v>11</v>
      </c>
      <c r="E224" s="12">
        <v>41730.02</v>
      </c>
    </row>
    <row r="225" spans="1:5">
      <c r="A225" s="10" t="s">
        <v>161</v>
      </c>
      <c r="B225" s="10" t="s">
        <v>67</v>
      </c>
      <c r="C225" s="10" t="s">
        <v>164</v>
      </c>
      <c r="D225" s="10" t="s">
        <v>9</v>
      </c>
      <c r="E225" s="12">
        <v>190393.2</v>
      </c>
    </row>
    <row r="226" spans="1:5">
      <c r="A226" s="10" t="s">
        <v>161</v>
      </c>
      <c r="B226" s="10" t="s">
        <v>67</v>
      </c>
      <c r="C226" s="10" t="s">
        <v>164</v>
      </c>
      <c r="D226" s="10" t="s">
        <v>11</v>
      </c>
      <c r="E226" s="12">
        <v>48254.44</v>
      </c>
    </row>
    <row r="227" spans="1:5">
      <c r="A227" s="10" t="s">
        <v>161</v>
      </c>
      <c r="B227" s="10" t="s">
        <v>67</v>
      </c>
      <c r="C227" s="10" t="s">
        <v>165</v>
      </c>
      <c r="D227" s="10" t="s">
        <v>9</v>
      </c>
      <c r="E227" s="12">
        <v>46402.92</v>
      </c>
    </row>
    <row r="228" spans="1:5">
      <c r="A228" s="10" t="s">
        <v>161</v>
      </c>
      <c r="B228" s="10" t="s">
        <v>67</v>
      </c>
      <c r="C228" s="10" t="s">
        <v>165</v>
      </c>
      <c r="D228" s="10" t="s">
        <v>11</v>
      </c>
      <c r="E228" s="12">
        <v>29913.96</v>
      </c>
    </row>
    <row r="229" spans="1:5">
      <c r="A229" s="10" t="s">
        <v>161</v>
      </c>
      <c r="B229" s="10" t="s">
        <v>67</v>
      </c>
      <c r="C229" s="10" t="s">
        <v>166</v>
      </c>
      <c r="D229" s="10" t="s">
        <v>9</v>
      </c>
      <c r="E229" s="12">
        <v>28233.08</v>
      </c>
    </row>
    <row r="230" spans="1:5">
      <c r="A230" s="10" t="s">
        <v>161</v>
      </c>
      <c r="B230" s="10" t="s">
        <v>67</v>
      </c>
      <c r="C230" s="10" t="s">
        <v>166</v>
      </c>
      <c r="D230" s="10" t="s">
        <v>11</v>
      </c>
      <c r="E230" s="12">
        <v>45369.4</v>
      </c>
    </row>
    <row r="231" spans="1:5">
      <c r="A231" s="10" t="s">
        <v>161</v>
      </c>
      <c r="B231" s="10" t="s">
        <v>67</v>
      </c>
      <c r="C231" s="10" t="s">
        <v>167</v>
      </c>
      <c r="D231" s="10" t="s">
        <v>9</v>
      </c>
      <c r="E231" s="12">
        <v>144.11</v>
      </c>
    </row>
    <row r="232" spans="1:5">
      <c r="A232" s="10" t="s">
        <v>161</v>
      </c>
      <c r="B232" s="10" t="s">
        <v>67</v>
      </c>
      <c r="C232" s="10" t="s">
        <v>167</v>
      </c>
      <c r="D232" s="10" t="s">
        <v>11</v>
      </c>
      <c r="E232" s="12">
        <v>141.16</v>
      </c>
    </row>
    <row r="233" spans="1:5">
      <c r="A233" s="10" t="s">
        <v>161</v>
      </c>
      <c r="B233" s="10" t="s">
        <v>67</v>
      </c>
      <c r="C233" s="10" t="s">
        <v>168</v>
      </c>
      <c r="D233" s="10" t="s">
        <v>9</v>
      </c>
      <c r="E233" s="12">
        <v>7327.95</v>
      </c>
    </row>
    <row r="234" spans="1:5">
      <c r="A234" s="10" t="s">
        <v>161</v>
      </c>
      <c r="B234" s="10" t="s">
        <v>67</v>
      </c>
      <c r="C234" s="10" t="s">
        <v>168</v>
      </c>
      <c r="D234" s="10" t="s">
        <v>11</v>
      </c>
      <c r="E234" s="12">
        <v>4405.87</v>
      </c>
    </row>
    <row r="235" spans="1:5">
      <c r="A235" s="10" t="s">
        <v>169</v>
      </c>
      <c r="B235" s="10" t="s">
        <v>67</v>
      </c>
      <c r="C235" s="10" t="s">
        <v>170</v>
      </c>
      <c r="D235" s="10" t="s">
        <v>9</v>
      </c>
      <c r="E235" s="12">
        <v>18571.33</v>
      </c>
    </row>
    <row r="236" spans="1:5">
      <c r="A236" s="10" t="s">
        <v>169</v>
      </c>
      <c r="B236" s="10" t="s">
        <v>67</v>
      </c>
      <c r="C236" s="10" t="s">
        <v>170</v>
      </c>
      <c r="D236" s="10" t="s">
        <v>11</v>
      </c>
      <c r="E236" s="12">
        <v>26289.23</v>
      </c>
    </row>
    <row r="237" spans="1:5">
      <c r="A237" s="10" t="s">
        <v>169</v>
      </c>
      <c r="B237" s="10" t="s">
        <v>67</v>
      </c>
      <c r="C237" s="10" t="s">
        <v>171</v>
      </c>
      <c r="D237" s="10" t="s">
        <v>9</v>
      </c>
      <c r="E237" s="12">
        <v>2181.36</v>
      </c>
    </row>
    <row r="238" spans="1:5">
      <c r="A238" s="10" t="s">
        <v>169</v>
      </c>
      <c r="B238" s="10" t="s">
        <v>67</v>
      </c>
      <c r="C238" s="10" t="s">
        <v>171</v>
      </c>
      <c r="D238" s="10" t="s">
        <v>11</v>
      </c>
      <c r="E238" s="12">
        <v>2136.66</v>
      </c>
    </row>
    <row r="239" spans="1:5">
      <c r="A239" s="10" t="s">
        <v>169</v>
      </c>
      <c r="B239" s="10" t="s">
        <v>67</v>
      </c>
      <c r="C239" s="10" t="s">
        <v>172</v>
      </c>
      <c r="D239" s="10" t="s">
        <v>9</v>
      </c>
      <c r="E239" s="12">
        <v>14574.3</v>
      </c>
    </row>
    <row r="240" spans="1:5">
      <c r="A240" s="10" t="s">
        <v>169</v>
      </c>
      <c r="B240" s="10" t="s">
        <v>67</v>
      </c>
      <c r="C240" s="10" t="s">
        <v>172</v>
      </c>
      <c r="D240" s="10" t="s">
        <v>11</v>
      </c>
      <c r="E240" s="12">
        <v>14275.69</v>
      </c>
    </row>
    <row r="241" spans="1:5">
      <c r="A241" s="10" t="s">
        <v>169</v>
      </c>
      <c r="B241" s="10" t="s">
        <v>67</v>
      </c>
      <c r="C241" s="10" t="s">
        <v>173</v>
      </c>
      <c r="D241" s="10" t="s">
        <v>9</v>
      </c>
      <c r="E241" s="12">
        <v>126603.27</v>
      </c>
    </row>
    <row r="242" spans="1:5">
      <c r="A242" s="10" t="s">
        <v>169</v>
      </c>
      <c r="B242" s="10" t="s">
        <v>67</v>
      </c>
      <c r="C242" s="10" t="s">
        <v>173</v>
      </c>
      <c r="D242" s="10" t="s">
        <v>11</v>
      </c>
      <c r="E242" s="12">
        <v>59017.1</v>
      </c>
    </row>
    <row r="243" spans="1:5">
      <c r="A243" s="10" t="s">
        <v>169</v>
      </c>
      <c r="B243" s="10" t="s">
        <v>67</v>
      </c>
      <c r="C243" s="10" t="s">
        <v>174</v>
      </c>
      <c r="D243" s="10" t="s">
        <v>9</v>
      </c>
      <c r="E243" s="12">
        <v>237477.49</v>
      </c>
    </row>
    <row r="244" spans="1:5">
      <c r="A244" s="10" t="s">
        <v>169</v>
      </c>
      <c r="B244" s="10" t="s">
        <v>67</v>
      </c>
      <c r="C244" s="10" t="s">
        <v>174</v>
      </c>
      <c r="D244" s="10" t="s">
        <v>11</v>
      </c>
      <c r="E244" s="12">
        <v>47262.07</v>
      </c>
    </row>
    <row r="245" spans="1:5">
      <c r="A245" s="10" t="s">
        <v>169</v>
      </c>
      <c r="B245" s="10" t="s">
        <v>67</v>
      </c>
      <c r="C245" s="10" t="s">
        <v>175</v>
      </c>
      <c r="D245" s="10" t="s">
        <v>9</v>
      </c>
      <c r="E245" s="12">
        <v>272403.45</v>
      </c>
    </row>
    <row r="246" spans="1:5">
      <c r="A246" s="10" t="s">
        <v>169</v>
      </c>
      <c r="B246" s="10" t="s">
        <v>67</v>
      </c>
      <c r="C246" s="10" t="s">
        <v>175</v>
      </c>
      <c r="D246" s="10" t="s">
        <v>11</v>
      </c>
      <c r="E246" s="12">
        <v>48962.98</v>
      </c>
    </row>
    <row r="247" spans="1:5">
      <c r="A247" s="10" t="s">
        <v>176</v>
      </c>
      <c r="B247" s="10" t="s">
        <v>67</v>
      </c>
      <c r="C247" s="10" t="s">
        <v>177</v>
      </c>
      <c r="D247" s="10" t="s">
        <v>9</v>
      </c>
      <c r="E247" s="12">
        <v>6877.34</v>
      </c>
    </row>
    <row r="248" spans="1:5">
      <c r="A248" s="10" t="s">
        <v>176</v>
      </c>
      <c r="B248" s="10" t="s">
        <v>67</v>
      </c>
      <c r="C248" s="10" t="s">
        <v>177</v>
      </c>
      <c r="D248" s="10" t="s">
        <v>11</v>
      </c>
      <c r="E248" s="12">
        <v>-2279.27</v>
      </c>
    </row>
    <row r="249" spans="1:5">
      <c r="A249" s="10" t="s">
        <v>176</v>
      </c>
      <c r="B249" s="10" t="s">
        <v>67</v>
      </c>
      <c r="C249" s="10" t="s">
        <v>178</v>
      </c>
      <c r="D249" s="10" t="s">
        <v>9</v>
      </c>
      <c r="E249" s="12">
        <v>487.27</v>
      </c>
    </row>
    <row r="250" spans="1:5">
      <c r="A250" s="10" t="s">
        <v>176</v>
      </c>
      <c r="B250" s="10" t="s">
        <v>67</v>
      </c>
      <c r="C250" s="10" t="s">
        <v>178</v>
      </c>
      <c r="D250" s="10" t="s">
        <v>11</v>
      </c>
      <c r="E250" s="12">
        <v>2577.5</v>
      </c>
    </row>
    <row r="251" spans="1:5">
      <c r="A251" s="10" t="s">
        <v>176</v>
      </c>
      <c r="B251" s="10" t="s">
        <v>67</v>
      </c>
      <c r="C251" s="10" t="s">
        <v>179</v>
      </c>
      <c r="D251" s="10" t="s">
        <v>9</v>
      </c>
      <c r="E251" s="12">
        <v>1297.91</v>
      </c>
    </row>
    <row r="252" spans="1:5">
      <c r="A252" s="10" t="s">
        <v>176</v>
      </c>
      <c r="B252" s="10" t="s">
        <v>67</v>
      </c>
      <c r="C252" s="10" t="s">
        <v>179</v>
      </c>
      <c r="D252" s="10" t="s">
        <v>11</v>
      </c>
      <c r="E252" s="12">
        <v>17184.45</v>
      </c>
    </row>
    <row r="253" spans="1:5">
      <c r="A253" s="10" t="s">
        <v>176</v>
      </c>
      <c r="B253" s="10" t="s">
        <v>67</v>
      </c>
      <c r="C253" s="10" t="s">
        <v>180</v>
      </c>
      <c r="D253" s="10" t="s">
        <v>9</v>
      </c>
      <c r="E253" s="12">
        <v>0</v>
      </c>
    </row>
    <row r="254" spans="1:5">
      <c r="A254" s="10" t="s">
        <v>176</v>
      </c>
      <c r="B254" s="10" t="s">
        <v>67</v>
      </c>
      <c r="C254" s="10" t="s">
        <v>180</v>
      </c>
      <c r="D254" s="10" t="s">
        <v>11</v>
      </c>
      <c r="E254" s="12">
        <v>27575.95</v>
      </c>
    </row>
    <row r="255" spans="1:5">
      <c r="A255" s="10" t="s">
        <v>181</v>
      </c>
      <c r="B255" s="10" t="s">
        <v>34</v>
      </c>
      <c r="C255" s="10" t="s">
        <v>182</v>
      </c>
      <c r="D255" s="10" t="s">
        <v>9</v>
      </c>
      <c r="E255" s="12">
        <v>140773.08</v>
      </c>
    </row>
    <row r="256" spans="1:5">
      <c r="A256" s="10" t="s">
        <v>181</v>
      </c>
      <c r="B256" s="10" t="s">
        <v>34</v>
      </c>
      <c r="C256" s="10" t="s">
        <v>182</v>
      </c>
      <c r="D256" s="10" t="s">
        <v>11</v>
      </c>
      <c r="E256" s="12">
        <v>66932.89999999999</v>
      </c>
    </row>
    <row r="257" spans="1:5">
      <c r="A257" s="10" t="s">
        <v>181</v>
      </c>
      <c r="B257" s="10" t="s">
        <v>34</v>
      </c>
      <c r="C257" s="10" t="s">
        <v>183</v>
      </c>
      <c r="D257" s="10" t="s">
        <v>9</v>
      </c>
      <c r="E257" s="12">
        <v>206028.25</v>
      </c>
    </row>
    <row r="258" spans="1:5">
      <c r="A258" s="10" t="s">
        <v>181</v>
      </c>
      <c r="B258" s="10" t="s">
        <v>34</v>
      </c>
      <c r="C258" s="10" t="s">
        <v>183</v>
      </c>
      <c r="D258" s="10" t="s">
        <v>11</v>
      </c>
      <c r="E258" s="12">
        <v>244559.94</v>
      </c>
    </row>
    <row r="259" spans="1:5">
      <c r="A259" s="10" t="s">
        <v>181</v>
      </c>
      <c r="B259" s="10" t="s">
        <v>34</v>
      </c>
      <c r="C259" s="10" t="s">
        <v>184</v>
      </c>
      <c r="D259" s="10" t="s">
        <v>9</v>
      </c>
      <c r="E259" s="12">
        <v>149286.33</v>
      </c>
    </row>
    <row r="260" spans="1:5">
      <c r="A260" s="10" t="s">
        <v>181</v>
      </c>
      <c r="B260" s="10" t="s">
        <v>34</v>
      </c>
      <c r="C260" s="10" t="s">
        <v>184</v>
      </c>
      <c r="D260" s="10" t="s">
        <v>11</v>
      </c>
      <c r="E260" s="12">
        <v>111101.49</v>
      </c>
    </row>
    <row r="261" spans="1:5">
      <c r="A261" s="10" t="s">
        <v>181</v>
      </c>
      <c r="B261" s="10" t="s">
        <v>34</v>
      </c>
      <c r="C261" s="10" t="s">
        <v>185</v>
      </c>
      <c r="D261" s="10" t="s">
        <v>9</v>
      </c>
      <c r="E261" s="12">
        <v>1479.97</v>
      </c>
    </row>
    <row r="262" spans="1:5">
      <c r="A262" s="10" t="s">
        <v>181</v>
      </c>
      <c r="B262" s="10" t="s">
        <v>34</v>
      </c>
      <c r="C262" s="10" t="s">
        <v>185</v>
      </c>
      <c r="D262" s="10" t="s">
        <v>11</v>
      </c>
      <c r="E262" s="12">
        <v>5473.28</v>
      </c>
    </row>
    <row r="263" spans="1:5">
      <c r="A263" s="10" t="s">
        <v>181</v>
      </c>
      <c r="B263" s="10" t="s">
        <v>34</v>
      </c>
      <c r="C263" s="10" t="s">
        <v>186</v>
      </c>
      <c r="D263" s="10" t="s">
        <v>9</v>
      </c>
      <c r="E263" s="12">
        <v>109390.15</v>
      </c>
    </row>
    <row r="264" spans="1:5">
      <c r="A264" s="10" t="s">
        <v>181</v>
      </c>
      <c r="B264" s="10" t="s">
        <v>34</v>
      </c>
      <c r="C264" s="10" t="s">
        <v>186</v>
      </c>
      <c r="D264" s="10" t="s">
        <v>11</v>
      </c>
      <c r="E264" s="12">
        <v>92739.25999999999</v>
      </c>
    </row>
    <row r="265" spans="1:5">
      <c r="A265" s="10" t="s">
        <v>181</v>
      </c>
      <c r="B265" s="10" t="s">
        <v>34</v>
      </c>
      <c r="C265" s="10" t="s">
        <v>187</v>
      </c>
      <c r="D265" s="10" t="s">
        <v>9</v>
      </c>
      <c r="E265" s="12">
        <v>67504.08</v>
      </c>
    </row>
    <row r="266" spans="1:5">
      <c r="A266" s="10" t="s">
        <v>181</v>
      </c>
      <c r="B266" s="10" t="s">
        <v>34</v>
      </c>
      <c r="C266" s="10" t="s">
        <v>187</v>
      </c>
      <c r="D266" s="10" t="s">
        <v>11</v>
      </c>
      <c r="E266" s="12">
        <v>44112.8</v>
      </c>
    </row>
    <row r="267" spans="1:5">
      <c r="A267" s="10" t="s">
        <v>181</v>
      </c>
      <c r="B267" s="10" t="s">
        <v>34</v>
      </c>
      <c r="C267" s="10" t="s">
        <v>188</v>
      </c>
      <c r="D267" s="10" t="s">
        <v>9</v>
      </c>
      <c r="E267" s="12">
        <v>146063.9</v>
      </c>
    </row>
    <row r="268" spans="1:5">
      <c r="A268" s="10" t="s">
        <v>181</v>
      </c>
      <c r="B268" s="10" t="s">
        <v>34</v>
      </c>
      <c r="C268" s="10" t="s">
        <v>188</v>
      </c>
      <c r="D268" s="10" t="s">
        <v>11</v>
      </c>
      <c r="E268" s="12">
        <v>131814.99</v>
      </c>
    </row>
    <row r="269" spans="1:5">
      <c r="A269" s="10" t="s">
        <v>181</v>
      </c>
      <c r="B269" s="10" t="s">
        <v>34</v>
      </c>
      <c r="C269" s="10" t="s">
        <v>189</v>
      </c>
      <c r="D269" s="10" t="s">
        <v>9</v>
      </c>
      <c r="E269" s="12">
        <v>133805.73</v>
      </c>
    </row>
    <row r="270" spans="1:5">
      <c r="A270" s="10" t="s">
        <v>181</v>
      </c>
      <c r="B270" s="10" t="s">
        <v>34</v>
      </c>
      <c r="C270" s="10" t="s">
        <v>189</v>
      </c>
      <c r="D270" s="10" t="s">
        <v>11</v>
      </c>
      <c r="E270" s="12">
        <v>127664.07</v>
      </c>
    </row>
    <row r="271" spans="1:5">
      <c r="A271" s="10" t="s">
        <v>181</v>
      </c>
      <c r="B271" s="10" t="s">
        <v>34</v>
      </c>
      <c r="C271" s="10" t="s">
        <v>190</v>
      </c>
      <c r="D271" s="10" t="s">
        <v>9</v>
      </c>
      <c r="E271" s="12">
        <v>82667.28999999999</v>
      </c>
    </row>
    <row r="272" spans="1:5">
      <c r="A272" s="10" t="s">
        <v>181</v>
      </c>
      <c r="B272" s="10" t="s">
        <v>34</v>
      </c>
      <c r="C272" s="10" t="s">
        <v>190</v>
      </c>
      <c r="D272" s="10" t="s">
        <v>11</v>
      </c>
      <c r="E272" s="12">
        <v>54721.63</v>
      </c>
    </row>
    <row r="273" spans="1:5">
      <c r="A273" s="10" t="s">
        <v>181</v>
      </c>
      <c r="B273" s="10" t="s">
        <v>34</v>
      </c>
      <c r="C273" s="10" t="s">
        <v>191</v>
      </c>
      <c r="D273" s="10" t="s">
        <v>9</v>
      </c>
      <c r="E273" s="12">
        <v>93852.19</v>
      </c>
    </row>
    <row r="274" spans="1:5">
      <c r="A274" s="10" t="s">
        <v>181</v>
      </c>
      <c r="B274" s="10" t="s">
        <v>34</v>
      </c>
      <c r="C274" s="10" t="s">
        <v>191</v>
      </c>
      <c r="D274" s="10" t="s">
        <v>11</v>
      </c>
      <c r="E274" s="12">
        <v>67870.72</v>
      </c>
    </row>
    <row r="275" spans="1:5">
      <c r="A275" s="10" t="s">
        <v>181</v>
      </c>
      <c r="B275" s="10" t="s">
        <v>34</v>
      </c>
      <c r="C275" s="10" t="s">
        <v>192</v>
      </c>
      <c r="D275" s="10" t="s">
        <v>9</v>
      </c>
      <c r="E275" s="12">
        <v>61358.61</v>
      </c>
    </row>
    <row r="276" spans="1:5">
      <c r="A276" s="10" t="s">
        <v>181</v>
      </c>
      <c r="B276" s="10" t="s">
        <v>34</v>
      </c>
      <c r="C276" s="10" t="s">
        <v>192</v>
      </c>
      <c r="D276" s="10" t="s">
        <v>11</v>
      </c>
      <c r="E276" s="12">
        <v>54351.25</v>
      </c>
    </row>
    <row r="277" spans="1:5">
      <c r="A277" s="10" t="s">
        <v>181</v>
      </c>
      <c r="B277" s="10" t="s">
        <v>34</v>
      </c>
      <c r="C277" s="10" t="s">
        <v>193</v>
      </c>
      <c r="D277" s="10" t="s">
        <v>9</v>
      </c>
      <c r="E277" s="12">
        <v>13023.73</v>
      </c>
    </row>
    <row r="278" spans="1:5">
      <c r="A278" s="10" t="s">
        <v>181</v>
      </c>
      <c r="B278" s="10" t="s">
        <v>34</v>
      </c>
      <c r="C278" s="10" t="s">
        <v>193</v>
      </c>
      <c r="D278" s="10" t="s">
        <v>11</v>
      </c>
      <c r="E278" s="12">
        <v>16225.84</v>
      </c>
    </row>
    <row r="279" spans="1:5">
      <c r="A279" s="10" t="s">
        <v>181</v>
      </c>
      <c r="B279" s="10" t="s">
        <v>34</v>
      </c>
      <c r="C279" s="10" t="s">
        <v>194</v>
      </c>
      <c r="D279" s="10" t="s">
        <v>9</v>
      </c>
      <c r="E279" s="12">
        <v>88131.36</v>
      </c>
    </row>
    <row r="280" spans="1:5">
      <c r="A280" s="10" t="s">
        <v>181</v>
      </c>
      <c r="B280" s="10" t="s">
        <v>34</v>
      </c>
      <c r="C280" s="10" t="s">
        <v>194</v>
      </c>
      <c r="D280" s="10" t="s">
        <v>11</v>
      </c>
      <c r="E280" s="12">
        <v>58255.43</v>
      </c>
    </row>
    <row r="281" spans="1:5">
      <c r="A281" s="10" t="s">
        <v>181</v>
      </c>
      <c r="B281" s="10" t="s">
        <v>34</v>
      </c>
      <c r="C281" s="10" t="s">
        <v>195</v>
      </c>
      <c r="D281" s="10" t="s">
        <v>9</v>
      </c>
      <c r="E281" s="12">
        <v>20245.51</v>
      </c>
    </row>
    <row r="282" spans="1:5">
      <c r="A282" s="10" t="s">
        <v>181</v>
      </c>
      <c r="B282" s="10" t="s">
        <v>34</v>
      </c>
      <c r="C282" s="10" t="s">
        <v>195</v>
      </c>
      <c r="D282" s="10" t="s">
        <v>11</v>
      </c>
      <c r="E282" s="12">
        <v>18779.13</v>
      </c>
    </row>
    <row r="283" spans="1:5">
      <c r="A283" s="10" t="s">
        <v>181</v>
      </c>
      <c r="B283" s="10" t="s">
        <v>34</v>
      </c>
      <c r="C283" s="10" t="s">
        <v>196</v>
      </c>
      <c r="D283" s="10" t="s">
        <v>9</v>
      </c>
      <c r="E283" s="12">
        <v>57078.99</v>
      </c>
    </row>
    <row r="284" spans="1:5">
      <c r="A284" s="10" t="s">
        <v>181</v>
      </c>
      <c r="B284" s="10" t="s">
        <v>34</v>
      </c>
      <c r="C284" s="10" t="s">
        <v>196</v>
      </c>
      <c r="D284" s="10" t="s">
        <v>11</v>
      </c>
      <c r="E284" s="12">
        <v>76922.75999999999</v>
      </c>
    </row>
    <row r="285" spans="1:5">
      <c r="A285" s="10" t="s">
        <v>181</v>
      </c>
      <c r="B285" s="10" t="s">
        <v>34</v>
      </c>
      <c r="C285" s="10" t="s">
        <v>197</v>
      </c>
      <c r="D285" s="10" t="s">
        <v>9</v>
      </c>
      <c r="E285" s="12">
        <v>154069.66</v>
      </c>
    </row>
    <row r="286" spans="1:5">
      <c r="A286" s="10" t="s">
        <v>181</v>
      </c>
      <c r="B286" s="10" t="s">
        <v>34</v>
      </c>
      <c r="C286" s="10" t="s">
        <v>197</v>
      </c>
      <c r="D286" s="10" t="s">
        <v>11</v>
      </c>
      <c r="E286" s="12">
        <v>176490.13</v>
      </c>
    </row>
    <row r="287" spans="1:5">
      <c r="A287" s="10" t="s">
        <v>198</v>
      </c>
      <c r="B287" s="10" t="s">
        <v>34</v>
      </c>
      <c r="C287" s="10" t="s">
        <v>199</v>
      </c>
      <c r="D287" s="10" t="s">
        <v>9</v>
      </c>
      <c r="E287" s="12">
        <v>132.94</v>
      </c>
    </row>
    <row r="288" spans="1:5">
      <c r="A288" s="10" t="s">
        <v>198</v>
      </c>
      <c r="B288" s="10" t="s">
        <v>34</v>
      </c>
      <c r="C288" s="10" t="s">
        <v>199</v>
      </c>
      <c r="D288" s="10" t="s">
        <v>11</v>
      </c>
      <c r="E288" s="12">
        <v>1700.75</v>
      </c>
    </row>
    <row r="289" spans="1:5">
      <c r="A289" s="10" t="s">
        <v>198</v>
      </c>
      <c r="B289" s="10" t="s">
        <v>34</v>
      </c>
      <c r="C289" s="10" t="s">
        <v>200</v>
      </c>
      <c r="D289" s="10" t="s">
        <v>9</v>
      </c>
      <c r="E289" s="12">
        <v>10786.46</v>
      </c>
    </row>
    <row r="290" spans="1:5">
      <c r="A290" s="10" t="s">
        <v>198</v>
      </c>
      <c r="B290" s="10" t="s">
        <v>34</v>
      </c>
      <c r="C290" s="10" t="s">
        <v>200</v>
      </c>
      <c r="D290" s="10" t="s">
        <v>11</v>
      </c>
      <c r="E290" s="12">
        <v>13663.64</v>
      </c>
    </row>
    <row r="291" spans="1:5">
      <c r="A291" s="10" t="s">
        <v>198</v>
      </c>
      <c r="B291" s="10" t="s">
        <v>34</v>
      </c>
      <c r="C291" s="10" t="s">
        <v>201</v>
      </c>
      <c r="D291" s="10" t="s">
        <v>9</v>
      </c>
      <c r="E291" s="12">
        <v>0</v>
      </c>
    </row>
    <row r="292" spans="1:5">
      <c r="A292" s="10" t="s">
        <v>198</v>
      </c>
      <c r="B292" s="10" t="s">
        <v>34</v>
      </c>
      <c r="C292" s="10" t="s">
        <v>201</v>
      </c>
      <c r="D292" s="10" t="s">
        <v>11</v>
      </c>
      <c r="E292" s="12">
        <v>0</v>
      </c>
    </row>
    <row r="293" spans="1:5">
      <c r="A293" s="10" t="s">
        <v>202</v>
      </c>
      <c r="B293" s="10" t="s">
        <v>34</v>
      </c>
      <c r="C293" s="10" t="s">
        <v>203</v>
      </c>
      <c r="D293" s="10" t="s">
        <v>9</v>
      </c>
      <c r="E293" s="12">
        <v>77312.74000000001</v>
      </c>
    </row>
    <row r="294" spans="1:5">
      <c r="A294" s="10" t="s">
        <v>202</v>
      </c>
      <c r="B294" s="10" t="s">
        <v>34</v>
      </c>
      <c r="C294" s="10" t="s">
        <v>203</v>
      </c>
      <c r="D294" s="10" t="s">
        <v>11</v>
      </c>
      <c r="E294" s="12">
        <v>144215.88</v>
      </c>
    </row>
    <row r="295" spans="1:5">
      <c r="A295" s="10" t="s">
        <v>202</v>
      </c>
      <c r="B295" s="10" t="s">
        <v>34</v>
      </c>
      <c r="C295" s="10" t="s">
        <v>204</v>
      </c>
      <c r="D295" s="10" t="s">
        <v>9</v>
      </c>
      <c r="E295" s="12">
        <v>6315.62</v>
      </c>
    </row>
    <row r="296" spans="1:5">
      <c r="A296" s="10" t="s">
        <v>202</v>
      </c>
      <c r="B296" s="10" t="s">
        <v>34</v>
      </c>
      <c r="C296" s="10" t="s">
        <v>204</v>
      </c>
      <c r="D296" s="10" t="s">
        <v>11</v>
      </c>
      <c r="E296" s="12">
        <v>980.8099999999999</v>
      </c>
    </row>
    <row r="297" spans="1:5">
      <c r="A297" s="10" t="s">
        <v>202</v>
      </c>
      <c r="B297" s="10" t="s">
        <v>34</v>
      </c>
      <c r="C297" s="10" t="s">
        <v>205</v>
      </c>
      <c r="D297" s="10" t="s">
        <v>9</v>
      </c>
      <c r="E297" s="12">
        <v>20585.94</v>
      </c>
    </row>
    <row r="298" spans="1:5">
      <c r="A298" s="10" t="s">
        <v>202</v>
      </c>
      <c r="B298" s="10" t="s">
        <v>34</v>
      </c>
      <c r="C298" s="10" t="s">
        <v>205</v>
      </c>
      <c r="D298" s="10" t="s">
        <v>11</v>
      </c>
      <c r="E298" s="12">
        <v>49555.43</v>
      </c>
    </row>
    <row r="299" spans="1:5">
      <c r="A299" s="10" t="s">
        <v>206</v>
      </c>
      <c r="B299" s="10" t="s">
        <v>67</v>
      </c>
      <c r="C299" s="10" t="s">
        <v>207</v>
      </c>
      <c r="D299" s="10" t="s">
        <v>9</v>
      </c>
      <c r="E299" s="12">
        <v>178532.95</v>
      </c>
    </row>
    <row r="300" spans="1:5">
      <c r="A300" s="10" t="s">
        <v>206</v>
      </c>
      <c r="B300" s="10" t="s">
        <v>67</v>
      </c>
      <c r="C300" s="10" t="s">
        <v>207</v>
      </c>
      <c r="D300" s="10" t="s">
        <v>11</v>
      </c>
      <c r="E300" s="12">
        <v>42450.5</v>
      </c>
    </row>
    <row r="301" spans="1:5">
      <c r="A301" s="10" t="s">
        <v>208</v>
      </c>
      <c r="B301" s="10" t="s">
        <v>55</v>
      </c>
      <c r="C301" s="10" t="s">
        <v>209</v>
      </c>
      <c r="D301" s="10" t="s">
        <v>9</v>
      </c>
      <c r="E301" s="12">
        <v>16739.01</v>
      </c>
    </row>
    <row r="302" spans="1:5">
      <c r="A302" s="10" t="s">
        <v>208</v>
      </c>
      <c r="B302" s="10" t="s">
        <v>55</v>
      </c>
      <c r="C302" s="10" t="s">
        <v>209</v>
      </c>
      <c r="D302" s="10" t="s">
        <v>11</v>
      </c>
      <c r="E302" s="12">
        <v>38187.06</v>
      </c>
    </row>
    <row r="303" spans="1:5">
      <c r="A303" s="10" t="s">
        <v>208</v>
      </c>
      <c r="B303" s="10" t="s">
        <v>55</v>
      </c>
      <c r="C303" s="10" t="s">
        <v>210</v>
      </c>
      <c r="D303" s="10" t="s">
        <v>9</v>
      </c>
      <c r="E303" s="12">
        <v>29431.35</v>
      </c>
    </row>
    <row r="304" spans="1:5">
      <c r="A304" s="10" t="s">
        <v>208</v>
      </c>
      <c r="B304" s="10" t="s">
        <v>55</v>
      </c>
      <c r="C304" s="10" t="s">
        <v>210</v>
      </c>
      <c r="D304" s="10" t="s">
        <v>11</v>
      </c>
      <c r="E304" s="12">
        <v>15895.17</v>
      </c>
    </row>
    <row r="305" spans="1:5">
      <c r="A305" s="10" t="s">
        <v>208</v>
      </c>
      <c r="B305" s="10" t="s">
        <v>55</v>
      </c>
      <c r="C305" s="10" t="s">
        <v>211</v>
      </c>
      <c r="D305" s="10" t="s">
        <v>9</v>
      </c>
      <c r="E305" s="12">
        <v>117179.81</v>
      </c>
    </row>
    <row r="306" spans="1:5">
      <c r="A306" s="10" t="s">
        <v>208</v>
      </c>
      <c r="B306" s="10" t="s">
        <v>55</v>
      </c>
      <c r="C306" s="10" t="s">
        <v>211</v>
      </c>
      <c r="D306" s="10" t="s">
        <v>11</v>
      </c>
      <c r="E306" s="12">
        <v>72922.67</v>
      </c>
    </row>
    <row r="307" spans="1:5">
      <c r="A307" s="10" t="s">
        <v>208</v>
      </c>
      <c r="B307" s="10" t="s">
        <v>55</v>
      </c>
      <c r="C307" s="10" t="s">
        <v>212</v>
      </c>
      <c r="D307" s="10" t="s">
        <v>9</v>
      </c>
      <c r="E307" s="12">
        <v>108910.4</v>
      </c>
    </row>
    <row r="308" spans="1:5">
      <c r="A308" s="10" t="s">
        <v>208</v>
      </c>
      <c r="B308" s="10" t="s">
        <v>55</v>
      </c>
      <c r="C308" s="10" t="s">
        <v>212</v>
      </c>
      <c r="D308" s="10" t="s">
        <v>11</v>
      </c>
      <c r="E308" s="12">
        <v>100716.86</v>
      </c>
    </row>
    <row r="309" spans="1:5">
      <c r="A309" s="10" t="s">
        <v>213</v>
      </c>
      <c r="B309" s="10" t="s">
        <v>67</v>
      </c>
      <c r="C309" s="10" t="s">
        <v>214</v>
      </c>
      <c r="D309" s="10" t="s">
        <v>9</v>
      </c>
      <c r="E309" s="12">
        <v>211221.54</v>
      </c>
    </row>
    <row r="310" spans="1:5">
      <c r="A310" s="10" t="s">
        <v>213</v>
      </c>
      <c r="B310" s="10" t="s">
        <v>67</v>
      </c>
      <c r="C310" s="10" t="s">
        <v>214</v>
      </c>
      <c r="D310" s="10" t="s">
        <v>11</v>
      </c>
      <c r="E310" s="12">
        <v>90030.06</v>
      </c>
    </row>
    <row r="311" spans="1:5">
      <c r="A311" s="10" t="s">
        <v>213</v>
      </c>
      <c r="B311" s="10" t="s">
        <v>67</v>
      </c>
      <c r="C311" s="10" t="s">
        <v>215</v>
      </c>
      <c r="D311" s="10" t="s">
        <v>9</v>
      </c>
      <c r="E311" s="12">
        <v>44270.46</v>
      </c>
    </row>
    <row r="312" spans="1:5">
      <c r="A312" s="10" t="s">
        <v>213</v>
      </c>
      <c r="B312" s="10" t="s">
        <v>67</v>
      </c>
      <c r="C312" s="10" t="s">
        <v>215</v>
      </c>
      <c r="D312" s="10" t="s">
        <v>11</v>
      </c>
      <c r="E312" s="12">
        <v>15253.68</v>
      </c>
    </row>
    <row r="313" spans="1:5">
      <c r="A313" s="10" t="s">
        <v>213</v>
      </c>
      <c r="B313" s="10" t="s">
        <v>67</v>
      </c>
      <c r="C313" s="10" t="s">
        <v>216</v>
      </c>
      <c r="D313" s="10" t="s">
        <v>11</v>
      </c>
      <c r="E313" s="12">
        <v>420.08</v>
      </c>
    </row>
    <row r="314" spans="1:5">
      <c r="A314" s="10" t="s">
        <v>213</v>
      </c>
      <c r="B314" s="10" t="s">
        <v>67</v>
      </c>
      <c r="C314" s="10" t="s">
        <v>217</v>
      </c>
      <c r="D314" s="10" t="s">
        <v>9</v>
      </c>
      <c r="E314" s="12">
        <v>57748</v>
      </c>
    </row>
    <row r="315" spans="1:5">
      <c r="A315" s="10" t="s">
        <v>213</v>
      </c>
      <c r="B315" s="10" t="s">
        <v>67</v>
      </c>
      <c r="C315" s="10" t="s">
        <v>217</v>
      </c>
      <c r="D315" s="10" t="s">
        <v>11</v>
      </c>
      <c r="E315" s="12">
        <v>42677.27</v>
      </c>
    </row>
    <row r="316" spans="1:5">
      <c r="A316" s="10" t="s">
        <v>213</v>
      </c>
      <c r="B316" s="10" t="s">
        <v>67</v>
      </c>
      <c r="C316" s="10" t="s">
        <v>218</v>
      </c>
      <c r="D316" s="10" t="s">
        <v>9</v>
      </c>
      <c r="E316" s="12">
        <v>96550.23</v>
      </c>
    </row>
    <row r="317" spans="1:5">
      <c r="A317" s="10" t="s">
        <v>213</v>
      </c>
      <c r="B317" s="10" t="s">
        <v>67</v>
      </c>
      <c r="C317" s="10" t="s">
        <v>218</v>
      </c>
      <c r="D317" s="10" t="s">
        <v>11</v>
      </c>
      <c r="E317" s="12">
        <v>118462.18</v>
      </c>
    </row>
    <row r="318" spans="1:5">
      <c r="A318" s="10" t="s">
        <v>213</v>
      </c>
      <c r="B318" s="10" t="s">
        <v>67</v>
      </c>
      <c r="C318" s="10" t="s">
        <v>219</v>
      </c>
      <c r="D318" s="10" t="s">
        <v>9</v>
      </c>
      <c r="E318" s="12">
        <v>227352.1</v>
      </c>
    </row>
    <row r="319" spans="1:5">
      <c r="A319" s="10" t="s">
        <v>213</v>
      </c>
      <c r="B319" s="10" t="s">
        <v>67</v>
      </c>
      <c r="C319" s="10" t="s">
        <v>219</v>
      </c>
      <c r="D319" s="10" t="s">
        <v>11</v>
      </c>
      <c r="E319" s="12">
        <v>111134.87</v>
      </c>
    </row>
    <row r="320" spans="1:5">
      <c r="A320" s="10" t="s">
        <v>213</v>
      </c>
      <c r="B320" s="10" t="s">
        <v>67</v>
      </c>
      <c r="C320" s="10" t="s">
        <v>220</v>
      </c>
      <c r="D320" s="10" t="s">
        <v>9</v>
      </c>
      <c r="E320" s="12">
        <v>241654.91</v>
      </c>
    </row>
    <row r="321" spans="1:5">
      <c r="A321" s="10" t="s">
        <v>213</v>
      </c>
      <c r="B321" s="10" t="s">
        <v>67</v>
      </c>
      <c r="C321" s="10" t="s">
        <v>220</v>
      </c>
      <c r="D321" s="10" t="s">
        <v>11</v>
      </c>
      <c r="E321" s="12">
        <v>55000.88</v>
      </c>
    </row>
    <row r="322" spans="1:5">
      <c r="A322" s="10" t="s">
        <v>213</v>
      </c>
      <c r="B322" s="10" t="s">
        <v>67</v>
      </c>
      <c r="C322" s="10" t="s">
        <v>221</v>
      </c>
      <c r="D322" s="10" t="s">
        <v>9</v>
      </c>
      <c r="E322" s="12">
        <v>105077.7</v>
      </c>
    </row>
    <row r="323" spans="1:5">
      <c r="A323" s="10" t="s">
        <v>213</v>
      </c>
      <c r="B323" s="10" t="s">
        <v>67</v>
      </c>
      <c r="C323" s="10" t="s">
        <v>221</v>
      </c>
      <c r="D323" s="10" t="s">
        <v>11</v>
      </c>
      <c r="E323" s="12">
        <v>46903.31</v>
      </c>
    </row>
    <row r="324" spans="1:5">
      <c r="A324" s="10" t="s">
        <v>213</v>
      </c>
      <c r="B324" s="10" t="s">
        <v>67</v>
      </c>
      <c r="C324" s="10" t="s">
        <v>222</v>
      </c>
      <c r="D324" s="10" t="s">
        <v>9</v>
      </c>
      <c r="E324" s="12">
        <v>164862.59</v>
      </c>
    </row>
    <row r="325" spans="1:5">
      <c r="A325" s="10" t="s">
        <v>213</v>
      </c>
      <c r="B325" s="10" t="s">
        <v>67</v>
      </c>
      <c r="C325" s="10" t="s">
        <v>222</v>
      </c>
      <c r="D325" s="10" t="s">
        <v>11</v>
      </c>
      <c r="E325" s="12">
        <v>51774.3</v>
      </c>
    </row>
    <row r="326" spans="1:5">
      <c r="A326" s="10" t="s">
        <v>213</v>
      </c>
      <c r="B326" s="10" t="s">
        <v>67</v>
      </c>
      <c r="C326" s="10" t="s">
        <v>223</v>
      </c>
      <c r="D326" s="10" t="s">
        <v>9</v>
      </c>
      <c r="E326" s="12">
        <v>33232.99</v>
      </c>
    </row>
    <row r="327" spans="1:5">
      <c r="A327" s="10" t="s">
        <v>213</v>
      </c>
      <c r="B327" s="10" t="s">
        <v>67</v>
      </c>
      <c r="C327" s="10" t="s">
        <v>223</v>
      </c>
      <c r="D327" s="10" t="s">
        <v>11</v>
      </c>
      <c r="E327" s="12">
        <v>16513.54</v>
      </c>
    </row>
    <row r="328" spans="1:5">
      <c r="A328" s="10" t="s">
        <v>213</v>
      </c>
      <c r="B328" s="10" t="s">
        <v>67</v>
      </c>
      <c r="C328" s="10" t="s">
        <v>224</v>
      </c>
      <c r="D328" s="10" t="s">
        <v>11</v>
      </c>
      <c r="E328" s="12">
        <v>2118.38</v>
      </c>
    </row>
    <row r="329" spans="1:5">
      <c r="A329" s="10" t="s">
        <v>213</v>
      </c>
      <c r="B329" s="10" t="s">
        <v>67</v>
      </c>
      <c r="C329" s="10" t="s">
        <v>225</v>
      </c>
      <c r="D329" s="10" t="s">
        <v>9</v>
      </c>
      <c r="E329" s="12">
        <v>8739.719999999999</v>
      </c>
    </row>
    <row r="330" spans="1:5">
      <c r="A330" s="10" t="s">
        <v>213</v>
      </c>
      <c r="B330" s="10" t="s">
        <v>67</v>
      </c>
      <c r="C330" s="10" t="s">
        <v>225</v>
      </c>
      <c r="D330" s="10" t="s">
        <v>11</v>
      </c>
      <c r="E330" s="12">
        <v>7413.8</v>
      </c>
    </row>
    <row r="331" spans="1:5">
      <c r="A331" s="10" t="s">
        <v>213</v>
      </c>
      <c r="B331" s="10" t="s">
        <v>67</v>
      </c>
      <c r="C331" s="10" t="s">
        <v>226</v>
      </c>
      <c r="D331" s="10" t="s">
        <v>9</v>
      </c>
      <c r="E331" s="12">
        <v>12415.26</v>
      </c>
    </row>
    <row r="332" spans="1:5">
      <c r="A332" s="10" t="s">
        <v>213</v>
      </c>
      <c r="B332" s="10" t="s">
        <v>67</v>
      </c>
      <c r="C332" s="10" t="s">
        <v>227</v>
      </c>
      <c r="D332" s="10" t="s">
        <v>9</v>
      </c>
      <c r="E332" s="12">
        <v>46443.07</v>
      </c>
    </row>
    <row r="333" spans="1:5">
      <c r="A333" s="10" t="s">
        <v>213</v>
      </c>
      <c r="B333" s="10" t="s">
        <v>67</v>
      </c>
      <c r="C333" s="10" t="s">
        <v>227</v>
      </c>
      <c r="D333" s="10" t="s">
        <v>11</v>
      </c>
      <c r="E333" s="12">
        <v>24161.33</v>
      </c>
    </row>
    <row r="334" spans="1:5">
      <c r="A334" s="10" t="s">
        <v>213</v>
      </c>
      <c r="B334" s="10" t="s">
        <v>67</v>
      </c>
      <c r="C334" s="10" t="s">
        <v>228</v>
      </c>
      <c r="D334" s="10" t="s">
        <v>9</v>
      </c>
      <c r="E334" s="12">
        <v>45618.12</v>
      </c>
    </row>
    <row r="335" spans="1:5">
      <c r="A335" s="10" t="s">
        <v>213</v>
      </c>
      <c r="B335" s="10" t="s">
        <v>67</v>
      </c>
      <c r="C335" s="10" t="s">
        <v>228</v>
      </c>
      <c r="D335" s="10" t="s">
        <v>11</v>
      </c>
      <c r="E335" s="12">
        <v>19478.87</v>
      </c>
    </row>
    <row r="336" spans="1:5">
      <c r="A336" s="10" t="s">
        <v>229</v>
      </c>
      <c r="B336" s="10" t="s">
        <v>67</v>
      </c>
      <c r="C336" s="10" t="s">
        <v>230</v>
      </c>
      <c r="D336" s="10" t="s">
        <v>9</v>
      </c>
      <c r="E336" s="12">
        <v>493.63</v>
      </c>
    </row>
    <row r="337" spans="1:5">
      <c r="A337" s="10" t="s">
        <v>229</v>
      </c>
      <c r="B337" s="10" t="s">
        <v>67</v>
      </c>
      <c r="C337" s="10" t="s">
        <v>230</v>
      </c>
      <c r="D337" s="10" t="s">
        <v>11</v>
      </c>
      <c r="E337" s="12">
        <v>959.45</v>
      </c>
    </row>
    <row r="338" spans="1:5">
      <c r="A338" s="10" t="s">
        <v>229</v>
      </c>
      <c r="B338" s="10" t="s">
        <v>67</v>
      </c>
      <c r="C338" s="10" t="s">
        <v>231</v>
      </c>
      <c r="D338" s="10" t="s">
        <v>9</v>
      </c>
      <c r="E338" s="12">
        <v>0</v>
      </c>
    </row>
    <row r="339" spans="1:5">
      <c r="A339" s="10" t="s">
        <v>229</v>
      </c>
      <c r="B339" s="10" t="s">
        <v>67</v>
      </c>
      <c r="C339" s="10" t="s">
        <v>231</v>
      </c>
      <c r="D339" s="10" t="s">
        <v>11</v>
      </c>
      <c r="E339" s="12">
        <v>-141.94</v>
      </c>
    </row>
    <row r="340" spans="1:5">
      <c r="A340" s="10" t="s">
        <v>229</v>
      </c>
      <c r="B340" s="10" t="s">
        <v>67</v>
      </c>
      <c r="C340" s="10" t="s">
        <v>232</v>
      </c>
      <c r="D340" s="10" t="s">
        <v>9</v>
      </c>
      <c r="E340" s="12">
        <v>8066.54</v>
      </c>
    </row>
    <row r="341" spans="1:5">
      <c r="A341" s="10" t="s">
        <v>229</v>
      </c>
      <c r="B341" s="10" t="s">
        <v>67</v>
      </c>
      <c r="C341" s="10" t="s">
        <v>232</v>
      </c>
      <c r="D341" s="10" t="s">
        <v>11</v>
      </c>
      <c r="E341" s="12">
        <v>4221.65</v>
      </c>
    </row>
    <row r="342" spans="1:5">
      <c r="A342" s="10" t="s">
        <v>229</v>
      </c>
      <c r="B342" s="10" t="s">
        <v>67</v>
      </c>
      <c r="C342" s="10" t="s">
        <v>233</v>
      </c>
      <c r="D342" s="10" t="s">
        <v>9</v>
      </c>
      <c r="E342" s="12">
        <v>10117.37</v>
      </c>
    </row>
    <row r="343" spans="1:5">
      <c r="A343" s="10" t="s">
        <v>229</v>
      </c>
      <c r="B343" s="10" t="s">
        <v>67</v>
      </c>
      <c r="C343" s="10" t="s">
        <v>233</v>
      </c>
      <c r="D343" s="10" t="s">
        <v>11</v>
      </c>
      <c r="E343" s="12">
        <v>6110.91</v>
      </c>
    </row>
    <row r="344" spans="1:5">
      <c r="A344" s="10" t="s">
        <v>229</v>
      </c>
      <c r="B344" s="10" t="s">
        <v>67</v>
      </c>
      <c r="C344" s="10" t="s">
        <v>234</v>
      </c>
      <c r="D344" s="10" t="s">
        <v>9</v>
      </c>
      <c r="E344" s="12">
        <v>79890.97</v>
      </c>
    </row>
    <row r="345" spans="1:5">
      <c r="A345" s="10" t="s">
        <v>229</v>
      </c>
      <c r="B345" s="10" t="s">
        <v>67</v>
      </c>
      <c r="C345" s="10" t="s">
        <v>234</v>
      </c>
      <c r="D345" s="10" t="s">
        <v>11</v>
      </c>
      <c r="E345" s="12">
        <v>69122.69</v>
      </c>
    </row>
    <row r="346" spans="1:5">
      <c r="A346" s="10" t="s">
        <v>229</v>
      </c>
      <c r="B346" s="10" t="s">
        <v>67</v>
      </c>
      <c r="C346" s="10" t="s">
        <v>235</v>
      </c>
      <c r="D346" s="10" t="s">
        <v>9</v>
      </c>
      <c r="E346" s="12">
        <v>2836.84</v>
      </c>
    </row>
    <row r="347" spans="1:5">
      <c r="A347" s="10" t="s">
        <v>229</v>
      </c>
      <c r="B347" s="10" t="s">
        <v>67</v>
      </c>
      <c r="C347" s="10" t="s">
        <v>235</v>
      </c>
      <c r="D347" s="10" t="s">
        <v>11</v>
      </c>
      <c r="E347" s="12">
        <v>2370.99</v>
      </c>
    </row>
    <row r="348" spans="1:5">
      <c r="A348" s="10" t="s">
        <v>229</v>
      </c>
      <c r="B348" s="10" t="s">
        <v>67</v>
      </c>
      <c r="C348" s="10" t="s">
        <v>236</v>
      </c>
      <c r="D348" s="10" t="s">
        <v>9</v>
      </c>
      <c r="E348" s="12">
        <v>133.84</v>
      </c>
    </row>
    <row r="349" spans="1:5">
      <c r="A349" s="10" t="s">
        <v>229</v>
      </c>
      <c r="B349" s="10" t="s">
        <v>67</v>
      </c>
      <c r="C349" s="10" t="s">
        <v>236</v>
      </c>
      <c r="D349" s="10" t="s">
        <v>11</v>
      </c>
      <c r="E349" s="12">
        <v>566.6799999999999</v>
      </c>
    </row>
    <row r="350" spans="1:5">
      <c r="A350" s="10" t="s">
        <v>229</v>
      </c>
      <c r="B350" s="10" t="s">
        <v>67</v>
      </c>
      <c r="C350" s="10" t="s">
        <v>237</v>
      </c>
      <c r="D350" s="10" t="s">
        <v>9</v>
      </c>
      <c r="E350" s="12">
        <v>552.61</v>
      </c>
    </row>
    <row r="351" spans="1:5">
      <c r="A351" s="10" t="s">
        <v>229</v>
      </c>
      <c r="B351" s="10" t="s">
        <v>67</v>
      </c>
      <c r="C351" s="10" t="s">
        <v>237</v>
      </c>
      <c r="D351" s="10" t="s">
        <v>11</v>
      </c>
      <c r="E351" s="12">
        <v>675.99</v>
      </c>
    </row>
    <row r="352" spans="1:5">
      <c r="A352" s="10" t="s">
        <v>229</v>
      </c>
      <c r="B352" s="10" t="s">
        <v>67</v>
      </c>
      <c r="C352" s="10" t="s">
        <v>238</v>
      </c>
      <c r="D352" s="10" t="s">
        <v>9</v>
      </c>
      <c r="E352" s="12">
        <v>1003.56</v>
      </c>
    </row>
    <row r="353" spans="1:5">
      <c r="A353" s="10" t="s">
        <v>229</v>
      </c>
      <c r="B353" s="10" t="s">
        <v>67</v>
      </c>
      <c r="C353" s="10" t="s">
        <v>238</v>
      </c>
      <c r="D353" s="10" t="s">
        <v>11</v>
      </c>
      <c r="E353" s="12">
        <v>6187.22</v>
      </c>
    </row>
    <row r="354" spans="1:5">
      <c r="A354" s="10" t="s">
        <v>229</v>
      </c>
      <c r="B354" s="10" t="s">
        <v>67</v>
      </c>
      <c r="C354" s="10" t="s">
        <v>239</v>
      </c>
      <c r="D354" s="10" t="s">
        <v>9</v>
      </c>
      <c r="E354" s="12">
        <v>287357.26</v>
      </c>
    </row>
    <row r="355" spans="1:5">
      <c r="A355" s="10" t="s">
        <v>229</v>
      </c>
      <c r="B355" s="10" t="s">
        <v>67</v>
      </c>
      <c r="C355" s="10" t="s">
        <v>239</v>
      </c>
      <c r="D355" s="10" t="s">
        <v>11</v>
      </c>
      <c r="E355" s="12">
        <v>142008.35</v>
      </c>
    </row>
    <row r="356" spans="1:5">
      <c r="A356" s="10" t="s">
        <v>229</v>
      </c>
      <c r="B356" s="10" t="s">
        <v>67</v>
      </c>
      <c r="C356" s="10" t="s">
        <v>240</v>
      </c>
      <c r="D356" s="10" t="s">
        <v>9</v>
      </c>
      <c r="E356" s="12">
        <v>113998.35</v>
      </c>
    </row>
    <row r="357" spans="1:5">
      <c r="A357" s="10" t="s">
        <v>229</v>
      </c>
      <c r="B357" s="10" t="s">
        <v>67</v>
      </c>
      <c r="C357" s="10" t="s">
        <v>240</v>
      </c>
      <c r="D357" s="10" t="s">
        <v>11</v>
      </c>
      <c r="E357" s="12">
        <v>9541.790000000001</v>
      </c>
    </row>
    <row r="358" spans="1:5">
      <c r="A358" s="10" t="s">
        <v>229</v>
      </c>
      <c r="B358" s="10" t="s">
        <v>67</v>
      </c>
      <c r="C358" s="10" t="s">
        <v>241</v>
      </c>
      <c r="D358" s="10" t="s">
        <v>9</v>
      </c>
      <c r="E358" s="12">
        <v>558.39</v>
      </c>
    </row>
    <row r="359" spans="1:5">
      <c r="A359" s="10" t="s">
        <v>229</v>
      </c>
      <c r="B359" s="10" t="s">
        <v>67</v>
      </c>
      <c r="C359" s="10" t="s">
        <v>241</v>
      </c>
      <c r="D359" s="10" t="s">
        <v>11</v>
      </c>
      <c r="E359" s="12">
        <v>507.07</v>
      </c>
    </row>
    <row r="360" spans="1:5">
      <c r="A360" s="10" t="s">
        <v>229</v>
      </c>
      <c r="B360" s="10" t="s">
        <v>67</v>
      </c>
      <c r="C360" s="10" t="s">
        <v>242</v>
      </c>
      <c r="D360" s="10" t="s">
        <v>9</v>
      </c>
      <c r="E360" s="12">
        <v>0</v>
      </c>
    </row>
    <row r="361" spans="1:5">
      <c r="A361" s="10" t="s">
        <v>229</v>
      </c>
      <c r="B361" s="10" t="s">
        <v>67</v>
      </c>
      <c r="C361" s="10" t="s">
        <v>242</v>
      </c>
      <c r="D361" s="10" t="s">
        <v>11</v>
      </c>
      <c r="E361" s="12">
        <v>0</v>
      </c>
    </row>
    <row r="362" spans="1:5">
      <c r="A362" s="10" t="s">
        <v>229</v>
      </c>
      <c r="B362" s="10" t="s">
        <v>67</v>
      </c>
      <c r="C362" s="10" t="s">
        <v>243</v>
      </c>
      <c r="D362" s="10" t="s">
        <v>9</v>
      </c>
      <c r="E362" s="12">
        <v>2014.93</v>
      </c>
    </row>
    <row r="363" spans="1:5">
      <c r="A363" s="10" t="s">
        <v>229</v>
      </c>
      <c r="B363" s="10" t="s">
        <v>67</v>
      </c>
      <c r="C363" s="10" t="s">
        <v>243</v>
      </c>
      <c r="D363" s="10" t="s">
        <v>11</v>
      </c>
      <c r="E363" s="12">
        <v>5357.92</v>
      </c>
    </row>
    <row r="364" spans="1:5">
      <c r="A364" s="10" t="s">
        <v>229</v>
      </c>
      <c r="B364" s="10" t="s">
        <v>67</v>
      </c>
      <c r="C364" s="10" t="s">
        <v>244</v>
      </c>
      <c r="D364" s="10" t="s">
        <v>9</v>
      </c>
      <c r="E364" s="12">
        <v>1257.31</v>
      </c>
    </row>
    <row r="365" spans="1:5">
      <c r="A365" s="10" t="s">
        <v>229</v>
      </c>
      <c r="B365" s="10" t="s">
        <v>67</v>
      </c>
      <c r="C365" s="10" t="s">
        <v>244</v>
      </c>
      <c r="D365" s="10" t="s">
        <v>11</v>
      </c>
      <c r="E365" s="12">
        <v>746.7</v>
      </c>
    </row>
    <row r="366" spans="1:5">
      <c r="A366" s="10" t="s">
        <v>229</v>
      </c>
      <c r="B366" s="10" t="s">
        <v>67</v>
      </c>
      <c r="C366" s="10" t="s">
        <v>245</v>
      </c>
      <c r="D366" s="10" t="s">
        <v>9</v>
      </c>
      <c r="E366" s="12">
        <v>75903.34</v>
      </c>
    </row>
    <row r="367" spans="1:5">
      <c r="A367" s="10" t="s">
        <v>229</v>
      </c>
      <c r="B367" s="10" t="s">
        <v>67</v>
      </c>
      <c r="C367" s="10" t="s">
        <v>245</v>
      </c>
      <c r="D367" s="10" t="s">
        <v>11</v>
      </c>
      <c r="E367" s="12">
        <v>60772.04</v>
      </c>
    </row>
    <row r="368" spans="1:5">
      <c r="A368" s="10" t="s">
        <v>229</v>
      </c>
      <c r="B368" s="10" t="s">
        <v>67</v>
      </c>
      <c r="C368" s="10" t="s">
        <v>246</v>
      </c>
      <c r="D368" s="10" t="s">
        <v>9</v>
      </c>
      <c r="E368" s="12">
        <v>-27058.42</v>
      </c>
    </row>
    <row r="369" spans="1:5">
      <c r="A369" s="10" t="s">
        <v>229</v>
      </c>
      <c r="B369" s="10" t="s">
        <v>67</v>
      </c>
      <c r="C369" s="10" t="s">
        <v>246</v>
      </c>
      <c r="D369" s="10" t="s">
        <v>11</v>
      </c>
      <c r="E369" s="12">
        <v>28247.93</v>
      </c>
    </row>
    <row r="370" spans="1:5">
      <c r="A370" s="10" t="s">
        <v>229</v>
      </c>
      <c r="B370" s="10" t="s">
        <v>67</v>
      </c>
      <c r="C370" s="10" t="s">
        <v>247</v>
      </c>
      <c r="D370" s="10" t="s">
        <v>9</v>
      </c>
      <c r="E370" s="12">
        <v>21058.56</v>
      </c>
    </row>
    <row r="371" spans="1:5">
      <c r="A371" s="10" t="s">
        <v>229</v>
      </c>
      <c r="B371" s="10" t="s">
        <v>67</v>
      </c>
      <c r="C371" s="10" t="s">
        <v>247</v>
      </c>
      <c r="D371" s="10" t="s">
        <v>11</v>
      </c>
      <c r="E371" s="12">
        <v>26404.78</v>
      </c>
    </row>
    <row r="372" spans="1:5">
      <c r="A372" s="10" t="s">
        <v>229</v>
      </c>
      <c r="B372" s="10" t="s">
        <v>67</v>
      </c>
      <c r="C372" s="10" t="s">
        <v>248</v>
      </c>
      <c r="D372" s="10" t="s">
        <v>9</v>
      </c>
      <c r="E372" s="12">
        <v>27226.79</v>
      </c>
    </row>
    <row r="373" spans="1:5">
      <c r="A373" s="10" t="s">
        <v>229</v>
      </c>
      <c r="B373" s="10" t="s">
        <v>67</v>
      </c>
      <c r="C373" s="10" t="s">
        <v>248</v>
      </c>
      <c r="D373" s="10" t="s">
        <v>11</v>
      </c>
      <c r="E373" s="12">
        <v>1970.63</v>
      </c>
    </row>
    <row r="374" spans="1:5">
      <c r="A374" s="10" t="s">
        <v>249</v>
      </c>
      <c r="B374" s="10" t="s">
        <v>55</v>
      </c>
      <c r="C374" s="10" t="s">
        <v>250</v>
      </c>
      <c r="D374" s="10" t="s">
        <v>9</v>
      </c>
      <c r="E374" s="12">
        <v>26741.76</v>
      </c>
    </row>
    <row r="375" spans="1:5">
      <c r="A375" s="10" t="s">
        <v>249</v>
      </c>
      <c r="B375" s="10" t="s">
        <v>55</v>
      </c>
      <c r="C375" s="10" t="s">
        <v>250</v>
      </c>
      <c r="D375" s="10" t="s">
        <v>11</v>
      </c>
      <c r="E375" s="12">
        <v>55617.36</v>
      </c>
    </row>
    <row r="376" spans="1:5">
      <c r="A376" s="10" t="s">
        <v>251</v>
      </c>
      <c r="B376" s="10" t="s">
        <v>55</v>
      </c>
      <c r="C376" s="10" t="s">
        <v>252</v>
      </c>
      <c r="D376" s="10" t="s">
        <v>9</v>
      </c>
      <c r="E376" s="12">
        <v>58.34</v>
      </c>
    </row>
    <row r="377" spans="1:5">
      <c r="A377" s="10" t="s">
        <v>251</v>
      </c>
      <c r="B377" s="10" t="s">
        <v>55</v>
      </c>
      <c r="C377" s="10" t="s">
        <v>252</v>
      </c>
      <c r="D377" s="10" t="s">
        <v>11</v>
      </c>
      <c r="E377" s="12">
        <v>58.59</v>
      </c>
    </row>
    <row r="378" spans="1:5">
      <c r="A378" s="10" t="s">
        <v>251</v>
      </c>
      <c r="B378" s="10" t="s">
        <v>34</v>
      </c>
      <c r="C378" s="10" t="s">
        <v>253</v>
      </c>
      <c r="D378" s="10" t="s">
        <v>9</v>
      </c>
      <c r="E378" s="12">
        <v>24568.45</v>
      </c>
    </row>
    <row r="379" spans="1:5">
      <c r="A379" s="10" t="s">
        <v>251</v>
      </c>
      <c r="B379" s="10" t="s">
        <v>34</v>
      </c>
      <c r="C379" s="10" t="s">
        <v>253</v>
      </c>
      <c r="D379" s="10" t="s">
        <v>11</v>
      </c>
      <c r="E379" s="12">
        <v>26719.65</v>
      </c>
    </row>
    <row r="380" spans="1:5">
      <c r="A380" s="10" t="s">
        <v>251</v>
      </c>
      <c r="B380" s="10" t="s">
        <v>34</v>
      </c>
      <c r="C380" s="10" t="s">
        <v>254</v>
      </c>
      <c r="D380" s="10" t="s">
        <v>9</v>
      </c>
      <c r="E380" s="12">
        <v>34664.11</v>
      </c>
    </row>
    <row r="381" spans="1:5">
      <c r="A381" s="10" t="s">
        <v>251</v>
      </c>
      <c r="B381" s="10" t="s">
        <v>34</v>
      </c>
      <c r="C381" s="10" t="s">
        <v>254</v>
      </c>
      <c r="D381" s="10" t="s">
        <v>11</v>
      </c>
      <c r="E381" s="12">
        <v>16905.61</v>
      </c>
    </row>
    <row r="382" spans="1:5">
      <c r="A382" s="10" t="s">
        <v>251</v>
      </c>
      <c r="B382" s="10" t="s">
        <v>34</v>
      </c>
      <c r="C382" s="10" t="s">
        <v>255</v>
      </c>
      <c r="D382" s="10" t="s">
        <v>9</v>
      </c>
      <c r="E382" s="12">
        <v>5697.97</v>
      </c>
    </row>
    <row r="383" spans="1:5">
      <c r="A383" s="10" t="s">
        <v>251</v>
      </c>
      <c r="B383" s="10" t="s">
        <v>34</v>
      </c>
      <c r="C383" s="10" t="s">
        <v>255</v>
      </c>
      <c r="D383" s="10" t="s">
        <v>11</v>
      </c>
      <c r="E383" s="12">
        <v>2281.78</v>
      </c>
    </row>
    <row r="384" spans="1:5">
      <c r="A384" s="10" t="s">
        <v>256</v>
      </c>
      <c r="B384" s="10" t="s">
        <v>67</v>
      </c>
      <c r="C384" s="10" t="s">
        <v>257</v>
      </c>
      <c r="D384" s="10" t="s">
        <v>9</v>
      </c>
      <c r="E384" s="12">
        <v>80118.62</v>
      </c>
    </row>
    <row r="385" spans="1:5">
      <c r="A385" s="10" t="s">
        <v>256</v>
      </c>
      <c r="B385" s="10" t="s">
        <v>67</v>
      </c>
      <c r="C385" s="10" t="s">
        <v>257</v>
      </c>
      <c r="D385" s="10" t="s">
        <v>11</v>
      </c>
      <c r="E385" s="12">
        <v>34086.97</v>
      </c>
    </row>
    <row r="386" spans="1:5">
      <c r="A386" s="10" t="s">
        <v>256</v>
      </c>
      <c r="B386" s="10" t="s">
        <v>67</v>
      </c>
      <c r="C386" s="10" t="s">
        <v>258</v>
      </c>
      <c r="D386" s="10" t="s">
        <v>9</v>
      </c>
      <c r="E386" s="12">
        <v>30480.24</v>
      </c>
    </row>
    <row r="387" spans="1:5">
      <c r="A387" s="10" t="s">
        <v>256</v>
      </c>
      <c r="B387" s="10" t="s">
        <v>67</v>
      </c>
      <c r="C387" s="10" t="s">
        <v>258</v>
      </c>
      <c r="D387" s="10" t="s">
        <v>11</v>
      </c>
      <c r="E387" s="12">
        <v>6596.76</v>
      </c>
    </row>
    <row r="388" spans="1:5">
      <c r="A388" s="10" t="s">
        <v>256</v>
      </c>
      <c r="B388" s="10" t="s">
        <v>67</v>
      </c>
      <c r="C388" s="10" t="s">
        <v>259</v>
      </c>
      <c r="D388" s="10" t="s">
        <v>9</v>
      </c>
      <c r="E388" s="12">
        <v>99782.05</v>
      </c>
    </row>
    <row r="389" spans="1:5">
      <c r="A389" s="10" t="s">
        <v>256</v>
      </c>
      <c r="B389" s="10" t="s">
        <v>67</v>
      </c>
      <c r="C389" s="10" t="s">
        <v>259</v>
      </c>
      <c r="D389" s="10" t="s">
        <v>11</v>
      </c>
      <c r="E389" s="12">
        <v>38034.41</v>
      </c>
    </row>
    <row r="390" spans="1:5">
      <c r="A390" s="10" t="s">
        <v>256</v>
      </c>
      <c r="B390" s="10" t="s">
        <v>67</v>
      </c>
      <c r="C390" s="10" t="s">
        <v>260</v>
      </c>
      <c r="D390" s="10" t="s">
        <v>9</v>
      </c>
      <c r="E390" s="12">
        <v>863.48</v>
      </c>
    </row>
    <row r="391" spans="1:5">
      <c r="A391" s="10" t="s">
        <v>256</v>
      </c>
      <c r="B391" s="10" t="s">
        <v>67</v>
      </c>
      <c r="C391" s="10" t="s">
        <v>260</v>
      </c>
      <c r="D391" s="10" t="s">
        <v>11</v>
      </c>
      <c r="E391" s="12">
        <v>1881.97</v>
      </c>
    </row>
    <row r="392" spans="1:5">
      <c r="A392" s="10" t="s">
        <v>261</v>
      </c>
      <c r="B392" s="10" t="s">
        <v>67</v>
      </c>
      <c r="C392" s="10" t="s">
        <v>262</v>
      </c>
      <c r="D392" s="10" t="s">
        <v>9</v>
      </c>
      <c r="E392" s="12">
        <v>189006.15</v>
      </c>
    </row>
    <row r="393" spans="1:5">
      <c r="A393" s="10" t="s">
        <v>261</v>
      </c>
      <c r="B393" s="10" t="s">
        <v>67</v>
      </c>
      <c r="C393" s="10" t="s">
        <v>262</v>
      </c>
      <c r="D393" s="10" t="s">
        <v>11</v>
      </c>
      <c r="E393" s="12">
        <v>17349.87</v>
      </c>
    </row>
    <row r="394" spans="1:5">
      <c r="A394" s="10" t="s">
        <v>261</v>
      </c>
      <c r="B394" s="10" t="s">
        <v>67</v>
      </c>
      <c r="C394" s="10" t="s">
        <v>263</v>
      </c>
      <c r="D394" s="10" t="s">
        <v>9</v>
      </c>
      <c r="E394" s="12">
        <v>50495.4</v>
      </c>
    </row>
    <row r="395" spans="1:5">
      <c r="A395" s="10" t="s">
        <v>261</v>
      </c>
      <c r="B395" s="10" t="s">
        <v>67</v>
      </c>
      <c r="C395" s="10" t="s">
        <v>263</v>
      </c>
      <c r="D395" s="10" t="s">
        <v>11</v>
      </c>
      <c r="E395" s="12">
        <v>2326.51</v>
      </c>
    </row>
    <row r="396" spans="1:5">
      <c r="A396" s="10" t="s">
        <v>261</v>
      </c>
      <c r="B396" s="10" t="s">
        <v>67</v>
      </c>
      <c r="C396" s="10" t="s">
        <v>264</v>
      </c>
      <c r="D396" s="10" t="s">
        <v>11</v>
      </c>
      <c r="E396" s="12">
        <v>663.85</v>
      </c>
    </row>
    <row r="397" spans="1:5">
      <c r="A397" s="10" t="s">
        <v>261</v>
      </c>
      <c r="B397" s="10" t="s">
        <v>67</v>
      </c>
      <c r="C397" s="10" t="s">
        <v>265</v>
      </c>
      <c r="D397" s="10" t="s">
        <v>9</v>
      </c>
      <c r="E397" s="12">
        <v>2220.71</v>
      </c>
    </row>
    <row r="398" spans="1:5">
      <c r="A398" s="10" t="s">
        <v>261</v>
      </c>
      <c r="B398" s="10" t="s">
        <v>67</v>
      </c>
      <c r="C398" s="10" t="s">
        <v>265</v>
      </c>
      <c r="D398" s="10" t="s">
        <v>11</v>
      </c>
      <c r="E398" s="12">
        <v>5575.21</v>
      </c>
    </row>
    <row r="399" spans="1:5">
      <c r="A399" s="10" t="s">
        <v>266</v>
      </c>
      <c r="B399" s="10" t="s">
        <v>34</v>
      </c>
      <c r="C399" s="10" t="s">
        <v>267</v>
      </c>
      <c r="D399" s="10" t="s">
        <v>9</v>
      </c>
      <c r="E399" s="12">
        <v>188133.75</v>
      </c>
    </row>
    <row r="400" spans="1:5">
      <c r="A400" s="10" t="s">
        <v>266</v>
      </c>
      <c r="B400" s="10" t="s">
        <v>34</v>
      </c>
      <c r="C400" s="10" t="s">
        <v>267</v>
      </c>
      <c r="D400" s="10" t="s">
        <v>11</v>
      </c>
      <c r="E400" s="12">
        <v>214517.44</v>
      </c>
    </row>
    <row r="401" spans="1:5">
      <c r="A401" s="10" t="s">
        <v>266</v>
      </c>
      <c r="B401" s="10" t="s">
        <v>34</v>
      </c>
      <c r="C401" s="10" t="s">
        <v>268</v>
      </c>
      <c r="D401" s="10" t="s">
        <v>9</v>
      </c>
      <c r="E401" s="12">
        <v>264611.63</v>
      </c>
    </row>
    <row r="402" spans="1:5">
      <c r="A402" s="10" t="s">
        <v>266</v>
      </c>
      <c r="B402" s="10" t="s">
        <v>34</v>
      </c>
      <c r="C402" s="10" t="s">
        <v>268</v>
      </c>
      <c r="D402" s="10" t="s">
        <v>11</v>
      </c>
      <c r="E402" s="12">
        <v>262882.14</v>
      </c>
    </row>
    <row r="403" spans="1:5">
      <c r="A403" s="10" t="s">
        <v>266</v>
      </c>
      <c r="B403" s="10" t="s">
        <v>34</v>
      </c>
      <c r="C403" s="10" t="s">
        <v>269</v>
      </c>
      <c r="D403" s="10" t="s">
        <v>9</v>
      </c>
      <c r="E403" s="12">
        <v>251991.23</v>
      </c>
    </row>
    <row r="404" spans="1:5">
      <c r="A404" s="10" t="s">
        <v>266</v>
      </c>
      <c r="B404" s="10" t="s">
        <v>34</v>
      </c>
      <c r="C404" s="10" t="s">
        <v>269</v>
      </c>
      <c r="D404" s="10" t="s">
        <v>11</v>
      </c>
      <c r="E404" s="12">
        <v>433473.75</v>
      </c>
    </row>
    <row r="405" spans="1:5">
      <c r="A405" s="10" t="s">
        <v>266</v>
      </c>
      <c r="B405" s="10" t="s">
        <v>34</v>
      </c>
      <c r="C405" s="10" t="s">
        <v>270</v>
      </c>
      <c r="D405" s="10" t="s">
        <v>9</v>
      </c>
      <c r="E405" s="12">
        <v>144966.12</v>
      </c>
    </row>
    <row r="406" spans="1:5">
      <c r="A406" s="10" t="s">
        <v>266</v>
      </c>
      <c r="B406" s="10" t="s">
        <v>34</v>
      </c>
      <c r="C406" s="10" t="s">
        <v>270</v>
      </c>
      <c r="D406" s="10" t="s">
        <v>11</v>
      </c>
      <c r="E406" s="12">
        <v>448730.36</v>
      </c>
    </row>
    <row r="407" spans="1:5">
      <c r="A407" s="10" t="s">
        <v>266</v>
      </c>
      <c r="B407" s="10" t="s">
        <v>34</v>
      </c>
      <c r="C407" s="10" t="s">
        <v>271</v>
      </c>
      <c r="D407" s="10" t="s">
        <v>9</v>
      </c>
      <c r="E407" s="12">
        <v>228175.91</v>
      </c>
    </row>
    <row r="408" spans="1:5">
      <c r="A408" s="10" t="s">
        <v>266</v>
      </c>
      <c r="B408" s="10" t="s">
        <v>34</v>
      </c>
      <c r="C408" s="10" t="s">
        <v>271</v>
      </c>
      <c r="D408" s="10" t="s">
        <v>11</v>
      </c>
      <c r="E408" s="12">
        <v>230750.89</v>
      </c>
    </row>
    <row r="409" spans="1:5">
      <c r="A409" s="10" t="s">
        <v>266</v>
      </c>
      <c r="B409" s="10" t="s">
        <v>34</v>
      </c>
      <c r="C409" s="10" t="s">
        <v>272</v>
      </c>
      <c r="D409" s="10" t="s">
        <v>9</v>
      </c>
      <c r="E409" s="12">
        <v>7939.04</v>
      </c>
    </row>
    <row r="410" spans="1:5">
      <c r="A410" s="10" t="s">
        <v>266</v>
      </c>
      <c r="B410" s="10" t="s">
        <v>34</v>
      </c>
      <c r="C410" s="10" t="s">
        <v>272</v>
      </c>
      <c r="D410" s="10" t="s">
        <v>11</v>
      </c>
      <c r="E410" s="12">
        <v>7542.74</v>
      </c>
    </row>
    <row r="411" spans="1:5">
      <c r="A411" s="10" t="s">
        <v>273</v>
      </c>
      <c r="B411" s="10" t="s">
        <v>67</v>
      </c>
      <c r="C411" s="10" t="s">
        <v>274</v>
      </c>
      <c r="D411" s="10" t="s">
        <v>9</v>
      </c>
      <c r="E411" s="12">
        <v>56700.2</v>
      </c>
    </row>
    <row r="412" spans="1:5">
      <c r="A412" s="10" t="s">
        <v>273</v>
      </c>
      <c r="B412" s="10" t="s">
        <v>67</v>
      </c>
      <c r="C412" s="10" t="s">
        <v>274</v>
      </c>
      <c r="D412" s="10" t="s">
        <v>11</v>
      </c>
      <c r="E412" s="12">
        <v>35702.8</v>
      </c>
    </row>
    <row r="413" spans="1:5">
      <c r="A413" s="10" t="s">
        <v>273</v>
      </c>
      <c r="B413" s="10" t="s">
        <v>67</v>
      </c>
      <c r="C413" s="10" t="s">
        <v>275</v>
      </c>
      <c r="D413" s="10" t="s">
        <v>9</v>
      </c>
      <c r="E413" s="12">
        <v>692.8099999999999</v>
      </c>
    </row>
    <row r="414" spans="1:5">
      <c r="A414" s="10" t="s">
        <v>273</v>
      </c>
      <c r="B414" s="10" t="s">
        <v>67</v>
      </c>
      <c r="C414" s="10" t="s">
        <v>275</v>
      </c>
      <c r="D414" s="10" t="s">
        <v>11</v>
      </c>
      <c r="E414" s="12">
        <v>686.77</v>
      </c>
    </row>
    <row r="415" spans="1:5">
      <c r="A415" s="10" t="s">
        <v>276</v>
      </c>
      <c r="B415" s="10" t="s">
        <v>67</v>
      </c>
      <c r="C415" s="10" t="s">
        <v>277</v>
      </c>
      <c r="D415" s="10" t="s">
        <v>9</v>
      </c>
      <c r="E415" s="12">
        <v>75165.44</v>
      </c>
    </row>
    <row r="416" spans="1:5">
      <c r="A416" s="10" t="s">
        <v>276</v>
      </c>
      <c r="B416" s="10" t="s">
        <v>67</v>
      </c>
      <c r="C416" s="10" t="s">
        <v>277</v>
      </c>
      <c r="D416" s="10" t="s">
        <v>11</v>
      </c>
      <c r="E416" s="12">
        <v>30494.49</v>
      </c>
    </row>
    <row r="417" spans="1:5">
      <c r="A417" s="10" t="s">
        <v>276</v>
      </c>
      <c r="B417" s="10" t="s">
        <v>67</v>
      </c>
      <c r="C417" s="10" t="s">
        <v>278</v>
      </c>
      <c r="D417" s="10" t="s">
        <v>9</v>
      </c>
      <c r="E417" s="12">
        <v>88762.41</v>
      </c>
    </row>
    <row r="418" spans="1:5">
      <c r="A418" s="10" t="s">
        <v>276</v>
      </c>
      <c r="B418" s="10" t="s">
        <v>67</v>
      </c>
      <c r="C418" s="10" t="s">
        <v>278</v>
      </c>
      <c r="D418" s="10" t="s">
        <v>11</v>
      </c>
      <c r="E418" s="12">
        <v>19120.2</v>
      </c>
    </row>
    <row r="419" spans="1:5">
      <c r="A419" s="10" t="s">
        <v>276</v>
      </c>
      <c r="B419" s="10" t="s">
        <v>67</v>
      </c>
      <c r="C419" s="10" t="s">
        <v>279</v>
      </c>
      <c r="D419" s="10" t="s">
        <v>9</v>
      </c>
      <c r="E419" s="12">
        <v>6249.05</v>
      </c>
    </row>
    <row r="420" spans="1:5">
      <c r="A420" s="10" t="s">
        <v>276</v>
      </c>
      <c r="B420" s="10" t="s">
        <v>67</v>
      </c>
      <c r="C420" s="10" t="s">
        <v>279</v>
      </c>
      <c r="D420" s="10" t="s">
        <v>11</v>
      </c>
      <c r="E420" s="12">
        <v>4402.27</v>
      </c>
    </row>
    <row r="421" spans="1:5">
      <c r="A421" s="10" t="s">
        <v>276</v>
      </c>
      <c r="B421" s="10" t="s">
        <v>67</v>
      </c>
      <c r="C421" s="10" t="s">
        <v>280</v>
      </c>
      <c r="D421" s="10" t="s">
        <v>9</v>
      </c>
      <c r="E421" s="12">
        <v>81311.50999999999</v>
      </c>
    </row>
    <row r="422" spans="1:5">
      <c r="A422" s="10" t="s">
        <v>276</v>
      </c>
      <c r="B422" s="10" t="s">
        <v>67</v>
      </c>
      <c r="C422" s="10" t="s">
        <v>280</v>
      </c>
      <c r="D422" s="10" t="s">
        <v>11</v>
      </c>
      <c r="E422" s="12">
        <v>61841.82</v>
      </c>
    </row>
    <row r="423" spans="1:5">
      <c r="A423" s="10" t="s">
        <v>276</v>
      </c>
      <c r="B423" s="10" t="s">
        <v>67</v>
      </c>
      <c r="C423" s="10" t="s">
        <v>281</v>
      </c>
      <c r="D423" s="10" t="s">
        <v>9</v>
      </c>
      <c r="E423" s="12">
        <v>315174.08</v>
      </c>
    </row>
    <row r="424" spans="1:5">
      <c r="A424" s="10" t="s">
        <v>276</v>
      </c>
      <c r="B424" s="10" t="s">
        <v>67</v>
      </c>
      <c r="C424" s="10" t="s">
        <v>281</v>
      </c>
      <c r="D424" s="10" t="s">
        <v>11</v>
      </c>
      <c r="E424" s="12">
        <v>237215.93</v>
      </c>
    </row>
    <row r="425" spans="1:5">
      <c r="A425" s="10" t="s">
        <v>276</v>
      </c>
      <c r="B425" s="10" t="s">
        <v>67</v>
      </c>
      <c r="C425" s="10" t="s">
        <v>282</v>
      </c>
      <c r="D425" s="10" t="s">
        <v>9</v>
      </c>
      <c r="E425" s="12">
        <v>0</v>
      </c>
    </row>
    <row r="426" spans="1:5">
      <c r="A426" s="10" t="s">
        <v>276</v>
      </c>
      <c r="B426" s="10" t="s">
        <v>67</v>
      </c>
      <c r="C426" s="10" t="s">
        <v>282</v>
      </c>
      <c r="D426" s="10" t="s">
        <v>11</v>
      </c>
      <c r="E426" s="12">
        <v>0</v>
      </c>
    </row>
    <row r="427" spans="1:5">
      <c r="A427" s="10" t="s">
        <v>276</v>
      </c>
      <c r="B427" s="10" t="s">
        <v>67</v>
      </c>
      <c r="C427" s="10" t="s">
        <v>283</v>
      </c>
      <c r="D427" s="10" t="s">
        <v>9</v>
      </c>
      <c r="E427" s="12">
        <v>1326.01</v>
      </c>
    </row>
    <row r="428" spans="1:5">
      <c r="A428" s="10" t="s">
        <v>276</v>
      </c>
      <c r="B428" s="10" t="s">
        <v>67</v>
      </c>
      <c r="C428" s="10" t="s">
        <v>283</v>
      </c>
      <c r="D428" s="10" t="s">
        <v>11</v>
      </c>
      <c r="E428" s="12">
        <v>0</v>
      </c>
    </row>
    <row r="429" spans="1:5">
      <c r="A429" s="10" t="s">
        <v>284</v>
      </c>
      <c r="B429" s="10" t="s">
        <v>67</v>
      </c>
      <c r="C429" s="10" t="s">
        <v>285</v>
      </c>
      <c r="D429" s="10" t="s">
        <v>9</v>
      </c>
      <c r="E429" s="12">
        <v>94958.03</v>
      </c>
    </row>
    <row r="430" spans="1:5">
      <c r="A430" s="10" t="s">
        <v>284</v>
      </c>
      <c r="B430" s="10" t="s">
        <v>67</v>
      </c>
      <c r="C430" s="10" t="s">
        <v>285</v>
      </c>
      <c r="D430" s="10" t="s">
        <v>11</v>
      </c>
      <c r="E430" s="12">
        <v>46141.33</v>
      </c>
    </row>
    <row r="431" spans="1:5">
      <c r="A431" s="10" t="s">
        <v>284</v>
      </c>
      <c r="B431" s="10" t="s">
        <v>67</v>
      </c>
      <c r="C431" s="10" t="s">
        <v>286</v>
      </c>
      <c r="D431" s="10" t="s">
        <v>9</v>
      </c>
      <c r="E431" s="12">
        <v>165927.11</v>
      </c>
    </row>
    <row r="432" spans="1:5">
      <c r="A432" s="10" t="s">
        <v>284</v>
      </c>
      <c r="B432" s="10" t="s">
        <v>67</v>
      </c>
      <c r="C432" s="10" t="s">
        <v>286</v>
      </c>
      <c r="D432" s="10" t="s">
        <v>11</v>
      </c>
      <c r="E432" s="12">
        <v>106275.3</v>
      </c>
    </row>
    <row r="433" spans="1:5">
      <c r="A433" s="10" t="s">
        <v>284</v>
      </c>
      <c r="B433" s="10" t="s">
        <v>67</v>
      </c>
      <c r="C433" s="10" t="s">
        <v>287</v>
      </c>
      <c r="D433" s="10" t="s">
        <v>9</v>
      </c>
      <c r="E433" s="12">
        <v>56280.88</v>
      </c>
    </row>
    <row r="434" spans="1:5">
      <c r="A434" s="10" t="s">
        <v>284</v>
      </c>
      <c r="B434" s="10" t="s">
        <v>67</v>
      </c>
      <c r="C434" s="10" t="s">
        <v>287</v>
      </c>
      <c r="D434" s="10" t="s">
        <v>11</v>
      </c>
      <c r="E434" s="12">
        <v>21703.73</v>
      </c>
    </row>
    <row r="435" spans="1:5">
      <c r="A435" s="10" t="s">
        <v>284</v>
      </c>
      <c r="B435" s="10" t="s">
        <v>67</v>
      </c>
      <c r="C435" s="10" t="s">
        <v>288</v>
      </c>
      <c r="D435" s="10" t="s">
        <v>9</v>
      </c>
      <c r="E435" s="12">
        <v>3321.49</v>
      </c>
    </row>
    <row r="436" spans="1:5">
      <c r="A436" s="10" t="s">
        <v>284</v>
      </c>
      <c r="B436" s="10" t="s">
        <v>67</v>
      </c>
      <c r="C436" s="10" t="s">
        <v>288</v>
      </c>
      <c r="D436" s="10" t="s">
        <v>11</v>
      </c>
      <c r="E436" s="12">
        <v>762.8</v>
      </c>
    </row>
    <row r="437" spans="1:5">
      <c r="A437" s="10" t="s">
        <v>289</v>
      </c>
      <c r="B437" s="10" t="s">
        <v>67</v>
      </c>
      <c r="C437" s="10" t="s">
        <v>290</v>
      </c>
      <c r="D437" s="10" t="s">
        <v>9</v>
      </c>
      <c r="E437" s="12">
        <v>95587.77</v>
      </c>
    </row>
    <row r="438" spans="1:5">
      <c r="A438" s="10" t="s">
        <v>289</v>
      </c>
      <c r="B438" s="10" t="s">
        <v>67</v>
      </c>
      <c r="C438" s="10" t="s">
        <v>290</v>
      </c>
      <c r="D438" s="10" t="s">
        <v>11</v>
      </c>
      <c r="E438" s="12">
        <v>29360.83</v>
      </c>
    </row>
    <row r="439" spans="1:5">
      <c r="A439" s="10" t="s">
        <v>289</v>
      </c>
      <c r="B439" s="10" t="s">
        <v>67</v>
      </c>
      <c r="C439" s="10" t="s">
        <v>291</v>
      </c>
      <c r="D439" s="10" t="s">
        <v>9</v>
      </c>
      <c r="E439" s="12">
        <v>21138.55</v>
      </c>
    </row>
    <row r="440" spans="1:5">
      <c r="A440" s="10" t="s">
        <v>289</v>
      </c>
      <c r="B440" s="10" t="s">
        <v>67</v>
      </c>
      <c r="C440" s="10" t="s">
        <v>291</v>
      </c>
      <c r="D440" s="10" t="s">
        <v>11</v>
      </c>
      <c r="E440" s="12">
        <v>5779.67</v>
      </c>
    </row>
    <row r="441" spans="1:5">
      <c r="A441" s="10" t="s">
        <v>289</v>
      </c>
      <c r="B441" s="10" t="s">
        <v>67</v>
      </c>
      <c r="C441" s="10" t="s">
        <v>292</v>
      </c>
      <c r="D441" s="10" t="s">
        <v>9</v>
      </c>
      <c r="E441" s="12">
        <v>16788.71</v>
      </c>
    </row>
    <row r="442" spans="1:5">
      <c r="A442" s="10" t="s">
        <v>289</v>
      </c>
      <c r="B442" s="10" t="s">
        <v>67</v>
      </c>
      <c r="C442" s="10" t="s">
        <v>293</v>
      </c>
      <c r="D442" s="10" t="s">
        <v>9</v>
      </c>
      <c r="E442" s="12">
        <v>1716.87</v>
      </c>
    </row>
    <row r="443" spans="1:5">
      <c r="A443" s="10" t="s">
        <v>289</v>
      </c>
      <c r="B443" s="10" t="s">
        <v>67</v>
      </c>
      <c r="C443" s="10" t="s">
        <v>293</v>
      </c>
      <c r="D443" s="10" t="s">
        <v>11</v>
      </c>
      <c r="E443" s="12">
        <v>1660.76</v>
      </c>
    </row>
    <row r="444" spans="1:5">
      <c r="A444" s="10" t="s">
        <v>289</v>
      </c>
      <c r="B444" s="10" t="s">
        <v>67</v>
      </c>
      <c r="C444" s="10" t="s">
        <v>294</v>
      </c>
      <c r="D444" s="10" t="s">
        <v>9</v>
      </c>
      <c r="E444" s="12">
        <v>26099.89</v>
      </c>
    </row>
    <row r="445" spans="1:5">
      <c r="A445" s="10" t="s">
        <v>289</v>
      </c>
      <c r="B445" s="10" t="s">
        <v>67</v>
      </c>
      <c r="C445" s="10" t="s">
        <v>294</v>
      </c>
      <c r="D445" s="10" t="s">
        <v>11</v>
      </c>
      <c r="E445" s="12">
        <v>10000.52</v>
      </c>
    </row>
    <row r="446" spans="1:5">
      <c r="A446" s="10" t="s">
        <v>289</v>
      </c>
      <c r="B446" s="10" t="s">
        <v>67</v>
      </c>
      <c r="C446" s="10" t="s">
        <v>295</v>
      </c>
      <c r="D446" s="10" t="s">
        <v>9</v>
      </c>
      <c r="E446" s="12">
        <v>184313.86</v>
      </c>
    </row>
    <row r="447" spans="1:5">
      <c r="A447" s="10" t="s">
        <v>289</v>
      </c>
      <c r="B447" s="10" t="s">
        <v>67</v>
      </c>
      <c r="C447" s="10" t="s">
        <v>295</v>
      </c>
      <c r="D447" s="10" t="s">
        <v>11</v>
      </c>
      <c r="E447" s="12">
        <v>85808.56</v>
      </c>
    </row>
    <row r="448" spans="1:5">
      <c r="A448" s="10" t="s">
        <v>296</v>
      </c>
      <c r="B448" s="10" t="s">
        <v>67</v>
      </c>
      <c r="C448" s="10" t="s">
        <v>297</v>
      </c>
      <c r="D448" s="10" t="s">
        <v>9</v>
      </c>
      <c r="E448" s="12">
        <v>80463.85000000001</v>
      </c>
    </row>
    <row r="449" spans="1:5">
      <c r="A449" s="10" t="s">
        <v>296</v>
      </c>
      <c r="B449" s="10" t="s">
        <v>67</v>
      </c>
      <c r="C449" s="10" t="s">
        <v>297</v>
      </c>
      <c r="D449" s="10" t="s">
        <v>11</v>
      </c>
      <c r="E449" s="12">
        <v>98583.53</v>
      </c>
    </row>
    <row r="450" spans="1:5">
      <c r="A450" s="10" t="s">
        <v>296</v>
      </c>
      <c r="B450" s="10" t="s">
        <v>67</v>
      </c>
      <c r="C450" s="10" t="s">
        <v>298</v>
      </c>
      <c r="D450" s="10" t="s">
        <v>11</v>
      </c>
      <c r="E450" s="12">
        <v>0</v>
      </c>
    </row>
    <row r="451" spans="1:5">
      <c r="A451" s="10" t="s">
        <v>296</v>
      </c>
      <c r="B451" s="10" t="s">
        <v>67</v>
      </c>
      <c r="C451" s="10" t="s">
        <v>299</v>
      </c>
      <c r="D451" s="10" t="s">
        <v>9</v>
      </c>
      <c r="E451" s="12">
        <v>45681.84</v>
      </c>
    </row>
    <row r="452" spans="1:5">
      <c r="A452" s="10" t="s">
        <v>296</v>
      </c>
      <c r="B452" s="10" t="s">
        <v>67</v>
      </c>
      <c r="C452" s="10" t="s">
        <v>299</v>
      </c>
      <c r="D452" s="10" t="s">
        <v>11</v>
      </c>
      <c r="E452" s="12">
        <v>18568.03</v>
      </c>
    </row>
    <row r="453" spans="1:5">
      <c r="A453" s="10" t="s">
        <v>300</v>
      </c>
      <c r="B453" s="10" t="s">
        <v>67</v>
      </c>
      <c r="C453" s="10" t="s">
        <v>301</v>
      </c>
      <c r="D453" s="10" t="s">
        <v>9</v>
      </c>
      <c r="E453" s="12">
        <v>2922.88</v>
      </c>
    </row>
    <row r="454" spans="1:5">
      <c r="A454" s="10" t="s">
        <v>300</v>
      </c>
      <c r="B454" s="10" t="s">
        <v>67</v>
      </c>
      <c r="C454" s="10" t="s">
        <v>301</v>
      </c>
      <c r="D454" s="10" t="s">
        <v>11</v>
      </c>
      <c r="E454" s="12">
        <v>2317.7</v>
      </c>
    </row>
    <row r="455" spans="1:5">
      <c r="A455" s="10" t="s">
        <v>300</v>
      </c>
      <c r="B455" s="10" t="s">
        <v>67</v>
      </c>
      <c r="C455" s="10" t="s">
        <v>302</v>
      </c>
      <c r="D455" s="10" t="s">
        <v>9</v>
      </c>
      <c r="E455" s="12">
        <v>73223.00999999999</v>
      </c>
    </row>
    <row r="456" spans="1:5">
      <c r="A456" s="10" t="s">
        <v>300</v>
      </c>
      <c r="B456" s="10" t="s">
        <v>67</v>
      </c>
      <c r="C456" s="10" t="s">
        <v>302</v>
      </c>
      <c r="D456" s="10" t="s">
        <v>11</v>
      </c>
      <c r="E456" s="12">
        <v>86567.60000000001</v>
      </c>
    </row>
    <row r="457" spans="1:5">
      <c r="A457" s="10" t="s">
        <v>300</v>
      </c>
      <c r="B457" s="10" t="s">
        <v>67</v>
      </c>
      <c r="C457" s="10" t="s">
        <v>303</v>
      </c>
      <c r="D457" s="10" t="s">
        <v>9</v>
      </c>
      <c r="E457" s="12">
        <v>207.3</v>
      </c>
    </row>
    <row r="458" spans="1:5">
      <c r="A458" s="10" t="s">
        <v>300</v>
      </c>
      <c r="B458" s="10" t="s">
        <v>67</v>
      </c>
      <c r="C458" s="10" t="s">
        <v>303</v>
      </c>
      <c r="D458" s="10" t="s">
        <v>11</v>
      </c>
      <c r="E458" s="12">
        <v>207.3</v>
      </c>
    </row>
    <row r="459" spans="1:5">
      <c r="A459" s="10" t="s">
        <v>300</v>
      </c>
      <c r="B459" s="10" t="s">
        <v>67</v>
      </c>
      <c r="C459" s="10" t="s">
        <v>304</v>
      </c>
      <c r="D459" s="10" t="s">
        <v>9</v>
      </c>
      <c r="E459" s="12">
        <v>58549.42</v>
      </c>
    </row>
    <row r="460" spans="1:5">
      <c r="A460" s="10" t="s">
        <v>300</v>
      </c>
      <c r="B460" s="10" t="s">
        <v>67</v>
      </c>
      <c r="C460" s="10" t="s">
        <v>304</v>
      </c>
      <c r="D460" s="10" t="s">
        <v>11</v>
      </c>
      <c r="E460" s="12">
        <v>23971.62</v>
      </c>
    </row>
    <row r="461" spans="1:5">
      <c r="A461" s="10" t="s">
        <v>305</v>
      </c>
      <c r="B461" s="10" t="s">
        <v>67</v>
      </c>
      <c r="C461" s="10" t="s">
        <v>306</v>
      </c>
      <c r="D461" s="10" t="s">
        <v>11</v>
      </c>
      <c r="E461" s="12">
        <v>16577.5</v>
      </c>
    </row>
    <row r="462" spans="1:5">
      <c r="A462" s="10" t="s">
        <v>305</v>
      </c>
      <c r="B462" s="10" t="s">
        <v>67</v>
      </c>
      <c r="C462" s="10" t="s">
        <v>307</v>
      </c>
      <c r="D462" s="10" t="s">
        <v>9</v>
      </c>
      <c r="E462" s="12">
        <v>1857.48</v>
      </c>
    </row>
    <row r="463" spans="1:5">
      <c r="A463" s="10" t="s">
        <v>305</v>
      </c>
      <c r="B463" s="10" t="s">
        <v>67</v>
      </c>
      <c r="C463" s="10" t="s">
        <v>308</v>
      </c>
      <c r="D463" s="10" t="s">
        <v>9</v>
      </c>
      <c r="E463" s="12">
        <v>2746.88</v>
      </c>
    </row>
    <row r="464" spans="1:5">
      <c r="A464" s="10" t="s">
        <v>305</v>
      </c>
      <c r="B464" s="10" t="s">
        <v>67</v>
      </c>
      <c r="C464" s="10" t="s">
        <v>308</v>
      </c>
      <c r="D464" s="10" t="s">
        <v>11</v>
      </c>
      <c r="E464" s="12">
        <v>2706.47</v>
      </c>
    </row>
    <row r="465" spans="1:5">
      <c r="A465" s="10" t="s">
        <v>305</v>
      </c>
      <c r="B465" s="10" t="s">
        <v>67</v>
      </c>
      <c r="C465" s="10" t="s">
        <v>309</v>
      </c>
      <c r="D465" s="10" t="s">
        <v>9</v>
      </c>
      <c r="E465" s="12">
        <v>63166.7</v>
      </c>
    </row>
    <row r="466" spans="1:5">
      <c r="A466" s="10" t="s">
        <v>305</v>
      </c>
      <c r="B466" s="10" t="s">
        <v>67</v>
      </c>
      <c r="C466" s="10" t="s">
        <v>309</v>
      </c>
      <c r="D466" s="10" t="s">
        <v>11</v>
      </c>
      <c r="E466" s="12">
        <v>86284.58</v>
      </c>
    </row>
    <row r="467" spans="1:5">
      <c r="A467" s="10" t="s">
        <v>305</v>
      </c>
      <c r="B467" s="10" t="s">
        <v>67</v>
      </c>
      <c r="C467" s="10" t="s">
        <v>310</v>
      </c>
      <c r="D467" s="10" t="s">
        <v>9</v>
      </c>
      <c r="E467" s="12">
        <v>318550.22</v>
      </c>
    </row>
    <row r="468" spans="1:5">
      <c r="A468" s="10" t="s">
        <v>305</v>
      </c>
      <c r="B468" s="10" t="s">
        <v>67</v>
      </c>
      <c r="C468" s="10" t="s">
        <v>310</v>
      </c>
      <c r="D468" s="10" t="s">
        <v>11</v>
      </c>
      <c r="E468" s="12">
        <v>85507.34</v>
      </c>
    </row>
    <row r="469" spans="1:5">
      <c r="A469" s="10" t="s">
        <v>305</v>
      </c>
      <c r="B469" s="10" t="s">
        <v>67</v>
      </c>
      <c r="C469" s="10" t="s">
        <v>311</v>
      </c>
      <c r="D469" s="10" t="s">
        <v>9</v>
      </c>
      <c r="E469" s="12">
        <v>160067.38</v>
      </c>
    </row>
    <row r="470" spans="1:5">
      <c r="A470" s="10" t="s">
        <v>305</v>
      </c>
      <c r="B470" s="10" t="s">
        <v>67</v>
      </c>
      <c r="C470" s="10" t="s">
        <v>311</v>
      </c>
      <c r="D470" s="10" t="s">
        <v>11</v>
      </c>
      <c r="E470" s="12">
        <v>205830.21</v>
      </c>
    </row>
    <row r="471" spans="1:5">
      <c r="A471" s="10" t="s">
        <v>305</v>
      </c>
      <c r="B471" s="10" t="s">
        <v>67</v>
      </c>
      <c r="C471" s="10" t="s">
        <v>312</v>
      </c>
      <c r="D471" s="10" t="s">
        <v>9</v>
      </c>
      <c r="E471" s="12">
        <v>497242.02</v>
      </c>
    </row>
    <row r="472" spans="1:5">
      <c r="A472" s="10" t="s">
        <v>305</v>
      </c>
      <c r="B472" s="10" t="s">
        <v>67</v>
      </c>
      <c r="C472" s="10" t="s">
        <v>312</v>
      </c>
      <c r="D472" s="10" t="s">
        <v>11</v>
      </c>
      <c r="E472" s="12">
        <v>220730.16</v>
      </c>
    </row>
    <row r="473" spans="1:5">
      <c r="A473" s="10" t="s">
        <v>305</v>
      </c>
      <c r="B473" s="10" t="s">
        <v>67</v>
      </c>
      <c r="C473" s="10" t="s">
        <v>313</v>
      </c>
      <c r="D473" s="10" t="s">
        <v>9</v>
      </c>
      <c r="E473" s="12">
        <v>137395.21</v>
      </c>
    </row>
    <row r="474" spans="1:5">
      <c r="A474" s="10" t="s">
        <v>305</v>
      </c>
      <c r="B474" s="10" t="s">
        <v>67</v>
      </c>
      <c r="C474" s="10" t="s">
        <v>313</v>
      </c>
      <c r="D474" s="10" t="s">
        <v>11</v>
      </c>
      <c r="E474" s="12">
        <v>93969</v>
      </c>
    </row>
    <row r="475" spans="1:5">
      <c r="A475" s="10" t="s">
        <v>305</v>
      </c>
      <c r="B475" s="10" t="s">
        <v>67</v>
      </c>
      <c r="C475" s="10" t="s">
        <v>314</v>
      </c>
      <c r="D475" s="10" t="s">
        <v>9</v>
      </c>
      <c r="E475" s="12">
        <v>383340.68</v>
      </c>
    </row>
    <row r="476" spans="1:5">
      <c r="A476" s="10" t="s">
        <v>305</v>
      </c>
      <c r="B476" s="10" t="s">
        <v>67</v>
      </c>
      <c r="C476" s="10" t="s">
        <v>314</v>
      </c>
      <c r="D476" s="10" t="s">
        <v>11</v>
      </c>
      <c r="E476" s="12">
        <v>196349.88</v>
      </c>
    </row>
    <row r="477" spans="1:5">
      <c r="A477" s="10" t="s">
        <v>305</v>
      </c>
      <c r="B477" s="10" t="s">
        <v>67</v>
      </c>
      <c r="C477" s="10" t="s">
        <v>315</v>
      </c>
      <c r="D477" s="10" t="s">
        <v>9</v>
      </c>
      <c r="E477" s="12">
        <v>211256.66</v>
      </c>
    </row>
    <row r="478" spans="1:5">
      <c r="A478" s="10" t="s">
        <v>305</v>
      </c>
      <c r="B478" s="10" t="s">
        <v>67</v>
      </c>
      <c r="C478" s="10" t="s">
        <v>315</v>
      </c>
      <c r="D478" s="10" t="s">
        <v>11</v>
      </c>
      <c r="E478" s="12">
        <v>297279.36</v>
      </c>
    </row>
    <row r="479" spans="1:5">
      <c r="A479" s="10" t="s">
        <v>305</v>
      </c>
      <c r="B479" s="10" t="s">
        <v>67</v>
      </c>
      <c r="C479" s="10" t="s">
        <v>316</v>
      </c>
      <c r="D479" s="10" t="s">
        <v>9</v>
      </c>
      <c r="E479" s="12">
        <v>16050.72</v>
      </c>
    </row>
    <row r="480" spans="1:5">
      <c r="A480" s="10" t="s">
        <v>305</v>
      </c>
      <c r="B480" s="10" t="s">
        <v>67</v>
      </c>
      <c r="C480" s="10" t="s">
        <v>316</v>
      </c>
      <c r="D480" s="10" t="s">
        <v>11</v>
      </c>
      <c r="E480" s="12">
        <v>-2100.61</v>
      </c>
    </row>
    <row r="481" spans="1:5">
      <c r="A481" s="10" t="s">
        <v>305</v>
      </c>
      <c r="B481" s="10" t="s">
        <v>67</v>
      </c>
      <c r="C481" s="10" t="s">
        <v>317</v>
      </c>
      <c r="D481" s="10" t="s">
        <v>9</v>
      </c>
      <c r="E481" s="12">
        <v>10857.64</v>
      </c>
    </row>
    <row r="482" spans="1:5">
      <c r="A482" s="10" t="s">
        <v>305</v>
      </c>
      <c r="B482" s="10" t="s">
        <v>67</v>
      </c>
      <c r="C482" s="10" t="s">
        <v>317</v>
      </c>
      <c r="D482" s="10" t="s">
        <v>11</v>
      </c>
      <c r="E482" s="12">
        <v>25410.07</v>
      </c>
    </row>
    <row r="483" spans="1:5">
      <c r="A483" s="10" t="s">
        <v>305</v>
      </c>
      <c r="B483" s="10" t="s">
        <v>67</v>
      </c>
      <c r="C483" s="10" t="s">
        <v>318</v>
      </c>
      <c r="D483" s="10" t="s">
        <v>9</v>
      </c>
      <c r="E483" s="12">
        <v>40203.38</v>
      </c>
    </row>
    <row r="484" spans="1:5">
      <c r="A484" s="10" t="s">
        <v>305</v>
      </c>
      <c r="B484" s="10" t="s">
        <v>67</v>
      </c>
      <c r="C484" s="10" t="s">
        <v>318</v>
      </c>
      <c r="D484" s="10" t="s">
        <v>11</v>
      </c>
      <c r="E484" s="12">
        <v>30104.98</v>
      </c>
    </row>
    <row r="485" spans="1:5">
      <c r="A485" s="10" t="s">
        <v>305</v>
      </c>
      <c r="B485" s="10" t="s">
        <v>67</v>
      </c>
      <c r="C485" s="10" t="s">
        <v>319</v>
      </c>
      <c r="D485" s="10" t="s">
        <v>9</v>
      </c>
      <c r="E485" s="12">
        <v>92324.36</v>
      </c>
    </row>
    <row r="486" spans="1:5">
      <c r="A486" s="10" t="s">
        <v>305</v>
      </c>
      <c r="B486" s="10" t="s">
        <v>67</v>
      </c>
      <c r="C486" s="10" t="s">
        <v>319</v>
      </c>
      <c r="D486" s="10" t="s">
        <v>11</v>
      </c>
      <c r="E486" s="12">
        <v>27872.69</v>
      </c>
    </row>
    <row r="487" spans="1:5">
      <c r="A487" s="10" t="s">
        <v>305</v>
      </c>
      <c r="B487" s="10" t="s">
        <v>67</v>
      </c>
      <c r="C487" s="10" t="s">
        <v>320</v>
      </c>
      <c r="D487" s="10" t="s">
        <v>9</v>
      </c>
      <c r="E487" s="12">
        <v>32458.88</v>
      </c>
    </row>
    <row r="488" spans="1:5">
      <c r="A488" s="10" t="s">
        <v>305</v>
      </c>
      <c r="B488" s="10" t="s">
        <v>67</v>
      </c>
      <c r="C488" s="10" t="s">
        <v>320</v>
      </c>
      <c r="D488" s="10" t="s">
        <v>11</v>
      </c>
      <c r="E488" s="12">
        <v>15557.03</v>
      </c>
    </row>
    <row r="489" spans="1:5">
      <c r="A489" s="10" t="s">
        <v>305</v>
      </c>
      <c r="B489" s="10" t="s">
        <v>67</v>
      </c>
      <c r="C489" s="10" t="s">
        <v>321</v>
      </c>
      <c r="D489" s="10" t="s">
        <v>9</v>
      </c>
      <c r="E489" s="12">
        <v>48117.67</v>
      </c>
    </row>
    <row r="490" spans="1:5">
      <c r="A490" s="10" t="s">
        <v>305</v>
      </c>
      <c r="B490" s="10" t="s">
        <v>67</v>
      </c>
      <c r="C490" s="10" t="s">
        <v>321</v>
      </c>
      <c r="D490" s="10" t="s">
        <v>11</v>
      </c>
      <c r="E490" s="12">
        <v>76803.14</v>
      </c>
    </row>
    <row r="491" spans="1:5">
      <c r="A491" s="10" t="s">
        <v>322</v>
      </c>
      <c r="B491" s="10" t="s">
        <v>55</v>
      </c>
      <c r="C491" s="10" t="s">
        <v>323</v>
      </c>
      <c r="D491" s="10" t="s">
        <v>9</v>
      </c>
      <c r="E491" s="12">
        <v>260673.5</v>
      </c>
    </row>
    <row r="492" spans="1:5">
      <c r="A492" s="10" t="s">
        <v>322</v>
      </c>
      <c r="B492" s="10" t="s">
        <v>55</v>
      </c>
      <c r="C492" s="10" t="s">
        <v>323</v>
      </c>
      <c r="D492" s="10" t="s">
        <v>11</v>
      </c>
      <c r="E492" s="12">
        <v>260673.5</v>
      </c>
    </row>
    <row r="493" spans="1:5">
      <c r="A493" s="10" t="s">
        <v>322</v>
      </c>
      <c r="B493" s="10" t="s">
        <v>55</v>
      </c>
      <c r="C493" s="10" t="s">
        <v>324</v>
      </c>
      <c r="D493" s="10" t="s">
        <v>9</v>
      </c>
      <c r="E493" s="12">
        <v>3285.61</v>
      </c>
    </row>
    <row r="494" spans="1:5">
      <c r="A494" s="10" t="s">
        <v>322</v>
      </c>
      <c r="B494" s="10" t="s">
        <v>55</v>
      </c>
      <c r="C494" s="10" t="s">
        <v>324</v>
      </c>
      <c r="D494" s="10" t="s">
        <v>11</v>
      </c>
      <c r="E494" s="12">
        <v>30000</v>
      </c>
    </row>
    <row r="495" spans="1:5">
      <c r="A495" s="10" t="s">
        <v>322</v>
      </c>
      <c r="B495" s="10" t="s">
        <v>55</v>
      </c>
      <c r="C495" s="10" t="s">
        <v>325</v>
      </c>
      <c r="D495" s="10" t="s">
        <v>9</v>
      </c>
      <c r="E495" s="12">
        <v>192821.23</v>
      </c>
    </row>
    <row r="496" spans="1:5">
      <c r="A496" s="10" t="s">
        <v>322</v>
      </c>
      <c r="B496" s="10" t="s">
        <v>55</v>
      </c>
      <c r="C496" s="10" t="s">
        <v>325</v>
      </c>
      <c r="D496" s="10" t="s">
        <v>11</v>
      </c>
      <c r="E496" s="12">
        <v>14726.48</v>
      </c>
    </row>
    <row r="497" spans="1:5">
      <c r="A497" s="10" t="s">
        <v>322</v>
      </c>
      <c r="B497" s="10" t="s">
        <v>55</v>
      </c>
      <c r="C497" s="10" t="s">
        <v>326</v>
      </c>
      <c r="D497" s="10" t="s">
        <v>9</v>
      </c>
      <c r="E497" s="12">
        <v>145889.49</v>
      </c>
    </row>
    <row r="498" spans="1:5">
      <c r="A498" s="10" t="s">
        <v>322</v>
      </c>
      <c r="B498" s="10" t="s">
        <v>55</v>
      </c>
      <c r="C498" s="10" t="s">
        <v>326</v>
      </c>
      <c r="D498" s="10" t="s">
        <v>11</v>
      </c>
      <c r="E498" s="12">
        <v>-3.53</v>
      </c>
    </row>
    <row r="499" spans="1:5">
      <c r="A499" s="10" t="s">
        <v>322</v>
      </c>
      <c r="B499" s="10" t="s">
        <v>55</v>
      </c>
      <c r="C499" s="10" t="s">
        <v>327</v>
      </c>
      <c r="D499" s="10" t="s">
        <v>9</v>
      </c>
      <c r="E499" s="12">
        <v>60032.02</v>
      </c>
    </row>
    <row r="500" spans="1:5">
      <c r="A500" s="10" t="s">
        <v>322</v>
      </c>
      <c r="B500" s="10" t="s">
        <v>55</v>
      </c>
      <c r="C500" s="10" t="s">
        <v>327</v>
      </c>
      <c r="D500" s="10" t="s">
        <v>11</v>
      </c>
      <c r="E500" s="12">
        <v>46453.58</v>
      </c>
    </row>
    <row r="501" spans="1:5">
      <c r="A501" s="10" t="s">
        <v>322</v>
      </c>
      <c r="B501" s="10" t="s">
        <v>55</v>
      </c>
      <c r="C501" s="10" t="s">
        <v>328</v>
      </c>
      <c r="D501" s="10" t="s">
        <v>9</v>
      </c>
      <c r="E501" s="12">
        <v>80230.94</v>
      </c>
    </row>
    <row r="502" spans="1:5">
      <c r="A502" s="10" t="s">
        <v>322</v>
      </c>
      <c r="B502" s="10" t="s">
        <v>55</v>
      </c>
      <c r="C502" s="10" t="s">
        <v>328</v>
      </c>
      <c r="D502" s="10" t="s">
        <v>11</v>
      </c>
      <c r="E502" s="12">
        <v>50661.42</v>
      </c>
    </row>
    <row r="503" spans="1:5">
      <c r="A503" s="10" t="s">
        <v>322</v>
      </c>
      <c r="B503" s="10" t="s">
        <v>55</v>
      </c>
      <c r="C503" s="10" t="s">
        <v>329</v>
      </c>
      <c r="D503" s="10" t="s">
        <v>9</v>
      </c>
      <c r="E503" s="12">
        <v>18401.84</v>
      </c>
    </row>
    <row r="504" spans="1:5">
      <c r="A504" s="10" t="s">
        <v>322</v>
      </c>
      <c r="B504" s="10" t="s">
        <v>55</v>
      </c>
      <c r="C504" s="10" t="s">
        <v>329</v>
      </c>
      <c r="D504" s="10" t="s">
        <v>11</v>
      </c>
      <c r="E504" s="12">
        <v>16330.14</v>
      </c>
    </row>
    <row r="505" spans="1:5">
      <c r="A505" s="10" t="s">
        <v>322</v>
      </c>
      <c r="B505" s="10" t="s">
        <v>55</v>
      </c>
      <c r="C505" s="10" t="s">
        <v>330</v>
      </c>
      <c r="D505" s="10" t="s">
        <v>9</v>
      </c>
      <c r="E505" s="12">
        <v>111637.26</v>
      </c>
    </row>
    <row r="506" spans="1:5">
      <c r="A506" s="10" t="s">
        <v>322</v>
      </c>
      <c r="B506" s="10" t="s">
        <v>55</v>
      </c>
      <c r="C506" s="10" t="s">
        <v>330</v>
      </c>
      <c r="D506" s="10" t="s">
        <v>11</v>
      </c>
      <c r="E506" s="12">
        <v>169373.84</v>
      </c>
    </row>
    <row r="507" spans="1:5">
      <c r="A507" s="10" t="s">
        <v>322</v>
      </c>
      <c r="B507" s="10" t="s">
        <v>55</v>
      </c>
      <c r="C507" s="10" t="s">
        <v>331</v>
      </c>
      <c r="D507" s="10" t="s">
        <v>9</v>
      </c>
      <c r="E507" s="12">
        <v>1477.97</v>
      </c>
    </row>
    <row r="508" spans="1:5">
      <c r="A508" s="10" t="s">
        <v>322</v>
      </c>
      <c r="B508" s="10" t="s">
        <v>55</v>
      </c>
      <c r="C508" s="10" t="s">
        <v>331</v>
      </c>
      <c r="D508" s="10" t="s">
        <v>11</v>
      </c>
      <c r="E508" s="12">
        <v>968.3099999999999</v>
      </c>
    </row>
    <row r="509" spans="1:5">
      <c r="A509" s="10" t="s">
        <v>322</v>
      </c>
      <c r="B509" s="10" t="s">
        <v>55</v>
      </c>
      <c r="C509" s="10" t="s">
        <v>332</v>
      </c>
      <c r="D509" s="10" t="s">
        <v>9</v>
      </c>
      <c r="E509" s="12">
        <v>1425.75</v>
      </c>
    </row>
    <row r="510" spans="1:5">
      <c r="A510" s="10" t="s">
        <v>322</v>
      </c>
      <c r="B510" s="10" t="s">
        <v>55</v>
      </c>
      <c r="C510" s="10" t="s">
        <v>332</v>
      </c>
      <c r="D510" s="10" t="s">
        <v>11</v>
      </c>
      <c r="E510" s="12">
        <v>3373.76</v>
      </c>
    </row>
    <row r="511" spans="1:5">
      <c r="A511" s="10" t="s">
        <v>322</v>
      </c>
      <c r="B511" s="10" t="s">
        <v>55</v>
      </c>
      <c r="C511" s="10" t="s">
        <v>333</v>
      </c>
      <c r="D511" s="10" t="s">
        <v>11</v>
      </c>
      <c r="E511" s="12">
        <v>-140.07</v>
      </c>
    </row>
    <row r="512" spans="1:5">
      <c r="A512" s="10" t="s">
        <v>322</v>
      </c>
      <c r="B512" s="10" t="s">
        <v>55</v>
      </c>
      <c r="C512" s="10" t="s">
        <v>334</v>
      </c>
      <c r="D512" s="10" t="s">
        <v>11</v>
      </c>
      <c r="E512" s="12">
        <v>6616</v>
      </c>
    </row>
    <row r="513" spans="1:5">
      <c r="A513" s="10" t="s">
        <v>322</v>
      </c>
      <c r="B513" s="10" t="s">
        <v>55</v>
      </c>
      <c r="C513" s="10" t="s">
        <v>335</v>
      </c>
      <c r="D513" s="10" t="s">
        <v>9</v>
      </c>
      <c r="E513" s="12">
        <v>138210.81</v>
      </c>
    </row>
    <row r="514" spans="1:5">
      <c r="A514" s="10" t="s">
        <v>322</v>
      </c>
      <c r="B514" s="10" t="s">
        <v>55</v>
      </c>
      <c r="C514" s="10" t="s">
        <v>335</v>
      </c>
      <c r="D514" s="10" t="s">
        <v>11</v>
      </c>
      <c r="E514" s="12">
        <v>50939.16</v>
      </c>
    </row>
    <row r="515" spans="1:5">
      <c r="A515" s="10" t="s">
        <v>322</v>
      </c>
      <c r="B515" s="10" t="s">
        <v>55</v>
      </c>
      <c r="C515" s="10" t="s">
        <v>336</v>
      </c>
      <c r="D515" s="10" t="s">
        <v>9</v>
      </c>
      <c r="E515" s="12">
        <v>76523.39</v>
      </c>
    </row>
    <row r="516" spans="1:5">
      <c r="A516" s="10" t="s">
        <v>322</v>
      </c>
      <c r="B516" s="10" t="s">
        <v>55</v>
      </c>
      <c r="C516" s="10" t="s">
        <v>336</v>
      </c>
      <c r="D516" s="10" t="s">
        <v>11</v>
      </c>
      <c r="E516" s="12">
        <v>9614.709999999999</v>
      </c>
    </row>
    <row r="517" spans="1:5">
      <c r="A517" s="10" t="s">
        <v>322</v>
      </c>
      <c r="B517" s="10" t="s">
        <v>55</v>
      </c>
      <c r="C517" s="10" t="s">
        <v>337</v>
      </c>
      <c r="D517" s="10" t="s">
        <v>9</v>
      </c>
      <c r="E517" s="12">
        <v>205450.92</v>
      </c>
    </row>
    <row r="518" spans="1:5">
      <c r="A518" s="10" t="s">
        <v>322</v>
      </c>
      <c r="B518" s="10" t="s">
        <v>55</v>
      </c>
      <c r="C518" s="10" t="s">
        <v>337</v>
      </c>
      <c r="D518" s="10" t="s">
        <v>11</v>
      </c>
      <c r="E518" s="12">
        <v>24267.29</v>
      </c>
    </row>
    <row r="519" spans="1:5">
      <c r="A519" s="10" t="s">
        <v>322</v>
      </c>
      <c r="B519" s="10" t="s">
        <v>55</v>
      </c>
      <c r="C519" s="10" t="s">
        <v>338</v>
      </c>
      <c r="D519" s="10" t="s">
        <v>9</v>
      </c>
      <c r="E519" s="12">
        <v>17527.88</v>
      </c>
    </row>
    <row r="520" spans="1:5">
      <c r="A520" s="10" t="s">
        <v>322</v>
      </c>
      <c r="B520" s="10" t="s">
        <v>55</v>
      </c>
      <c r="C520" s="10" t="s">
        <v>338</v>
      </c>
      <c r="D520" s="10" t="s">
        <v>11</v>
      </c>
      <c r="E520" s="12">
        <v>50256.28</v>
      </c>
    </row>
    <row r="521" spans="1:5">
      <c r="A521" s="10" t="s">
        <v>322</v>
      </c>
      <c r="B521" s="10" t="s">
        <v>55</v>
      </c>
      <c r="C521" s="10" t="s">
        <v>339</v>
      </c>
      <c r="D521" s="10" t="s">
        <v>9</v>
      </c>
      <c r="E521" s="12">
        <v>64731.52</v>
      </c>
    </row>
    <row r="522" spans="1:5">
      <c r="A522" s="10" t="s">
        <v>322</v>
      </c>
      <c r="B522" s="10" t="s">
        <v>55</v>
      </c>
      <c r="C522" s="10" t="s">
        <v>339</v>
      </c>
      <c r="D522" s="10" t="s">
        <v>11</v>
      </c>
      <c r="E522" s="12">
        <v>43668.96</v>
      </c>
    </row>
    <row r="523" spans="1:5">
      <c r="A523" s="10" t="s">
        <v>322</v>
      </c>
      <c r="B523" s="10" t="s">
        <v>55</v>
      </c>
      <c r="C523" s="10" t="s">
        <v>340</v>
      </c>
      <c r="D523" s="10" t="s">
        <v>9</v>
      </c>
      <c r="E523" s="12">
        <v>13152.89</v>
      </c>
    </row>
    <row r="524" spans="1:5">
      <c r="A524" s="10" t="s">
        <v>322</v>
      </c>
      <c r="B524" s="10" t="s">
        <v>55</v>
      </c>
      <c r="C524" s="10" t="s">
        <v>340</v>
      </c>
      <c r="D524" s="10" t="s">
        <v>11</v>
      </c>
      <c r="E524" s="12">
        <v>7957.53</v>
      </c>
    </row>
    <row r="525" spans="1:5">
      <c r="A525" s="10" t="s">
        <v>322</v>
      </c>
      <c r="B525" s="10" t="s">
        <v>55</v>
      </c>
      <c r="C525" s="10" t="s">
        <v>341</v>
      </c>
      <c r="D525" s="10" t="s">
        <v>9</v>
      </c>
      <c r="E525" s="12">
        <v>108788.83</v>
      </c>
    </row>
    <row r="526" spans="1:5">
      <c r="A526" s="10" t="s">
        <v>322</v>
      </c>
      <c r="B526" s="10" t="s">
        <v>55</v>
      </c>
      <c r="C526" s="10" t="s">
        <v>341</v>
      </c>
      <c r="D526" s="10" t="s">
        <v>11</v>
      </c>
      <c r="E526" s="12">
        <v>73566.34</v>
      </c>
    </row>
    <row r="527" spans="1:5">
      <c r="A527" s="10" t="s">
        <v>322</v>
      </c>
      <c r="B527" s="10" t="s">
        <v>55</v>
      </c>
      <c r="C527" s="10" t="s">
        <v>342</v>
      </c>
      <c r="D527" s="10" t="s">
        <v>9</v>
      </c>
      <c r="E527" s="12">
        <v>28734.17</v>
      </c>
    </row>
    <row r="528" spans="1:5">
      <c r="A528" s="10" t="s">
        <v>322</v>
      </c>
      <c r="B528" s="10" t="s">
        <v>55</v>
      </c>
      <c r="C528" s="10" t="s">
        <v>342</v>
      </c>
      <c r="D528" s="10" t="s">
        <v>11</v>
      </c>
      <c r="E528" s="12">
        <v>34767.44</v>
      </c>
    </row>
    <row r="529" spans="1:5">
      <c r="A529" s="10" t="s">
        <v>322</v>
      </c>
      <c r="B529" s="10" t="s">
        <v>55</v>
      </c>
      <c r="C529" s="10" t="s">
        <v>343</v>
      </c>
      <c r="D529" s="10" t="s">
        <v>9</v>
      </c>
      <c r="E529" s="12">
        <v>9686.51</v>
      </c>
    </row>
    <row r="530" spans="1:5">
      <c r="A530" s="10" t="s">
        <v>322</v>
      </c>
      <c r="B530" s="10" t="s">
        <v>55</v>
      </c>
      <c r="C530" s="10" t="s">
        <v>343</v>
      </c>
      <c r="D530" s="10" t="s">
        <v>11</v>
      </c>
      <c r="E530" s="12">
        <v>12093.58</v>
      </c>
    </row>
    <row r="531" spans="1:5">
      <c r="A531" s="10" t="s">
        <v>322</v>
      </c>
      <c r="B531" s="10" t="s">
        <v>55</v>
      </c>
      <c r="C531" s="10" t="s">
        <v>344</v>
      </c>
      <c r="D531" s="10" t="s">
        <v>9</v>
      </c>
      <c r="E531" s="12">
        <v>9768.85</v>
      </c>
    </row>
    <row r="532" spans="1:5">
      <c r="A532" s="10" t="s">
        <v>322</v>
      </c>
      <c r="B532" s="10" t="s">
        <v>55</v>
      </c>
      <c r="C532" s="10" t="s">
        <v>344</v>
      </c>
      <c r="D532" s="10" t="s">
        <v>11</v>
      </c>
      <c r="E532" s="12">
        <v>5820.84</v>
      </c>
    </row>
    <row r="533" spans="1:5">
      <c r="A533" s="10" t="s">
        <v>322</v>
      </c>
      <c r="B533" s="10" t="s">
        <v>55</v>
      </c>
      <c r="C533" s="10" t="s">
        <v>345</v>
      </c>
      <c r="D533" s="10" t="s">
        <v>9</v>
      </c>
      <c r="E533" s="12">
        <v>91688.37</v>
      </c>
    </row>
    <row r="534" spans="1:5">
      <c r="A534" s="10" t="s">
        <v>322</v>
      </c>
      <c r="B534" s="10" t="s">
        <v>55</v>
      </c>
      <c r="C534" s="10" t="s">
        <v>345</v>
      </c>
      <c r="D534" s="10" t="s">
        <v>11</v>
      </c>
      <c r="E534" s="12">
        <v>43354.79</v>
      </c>
    </row>
    <row r="535" spans="1:5">
      <c r="A535" s="10" t="s">
        <v>322</v>
      </c>
      <c r="B535" s="10" t="s">
        <v>55</v>
      </c>
      <c r="C535" s="10" t="s">
        <v>346</v>
      </c>
      <c r="D535" s="10" t="s">
        <v>9</v>
      </c>
      <c r="E535" s="12">
        <v>10475.37</v>
      </c>
    </row>
    <row r="536" spans="1:5">
      <c r="A536" s="10" t="s">
        <v>322</v>
      </c>
      <c r="B536" s="10" t="s">
        <v>55</v>
      </c>
      <c r="C536" s="10" t="s">
        <v>346</v>
      </c>
      <c r="D536" s="10" t="s">
        <v>11</v>
      </c>
      <c r="E536" s="12">
        <v>34163.89</v>
      </c>
    </row>
    <row r="537" spans="1:5">
      <c r="A537" s="10" t="s">
        <v>322</v>
      </c>
      <c r="B537" s="10" t="s">
        <v>55</v>
      </c>
      <c r="C537" s="10" t="s">
        <v>347</v>
      </c>
      <c r="D537" s="10" t="s">
        <v>9</v>
      </c>
      <c r="E537" s="12">
        <v>39338.38</v>
      </c>
    </row>
    <row r="538" spans="1:5">
      <c r="A538" s="10" t="s">
        <v>322</v>
      </c>
      <c r="B538" s="10" t="s">
        <v>55</v>
      </c>
      <c r="C538" s="10" t="s">
        <v>347</v>
      </c>
      <c r="D538" s="10" t="s">
        <v>11</v>
      </c>
      <c r="E538" s="12">
        <v>1918.49</v>
      </c>
    </row>
    <row r="539" spans="1:5">
      <c r="A539" s="10" t="s">
        <v>322</v>
      </c>
      <c r="B539" s="10" t="s">
        <v>55</v>
      </c>
      <c r="C539" s="10" t="s">
        <v>348</v>
      </c>
      <c r="D539" s="10" t="s">
        <v>9</v>
      </c>
      <c r="E539" s="12">
        <v>81049.69</v>
      </c>
    </row>
    <row r="540" spans="1:5">
      <c r="A540" s="10" t="s">
        <v>322</v>
      </c>
      <c r="B540" s="10" t="s">
        <v>55</v>
      </c>
      <c r="C540" s="10" t="s">
        <v>348</v>
      </c>
      <c r="D540" s="10" t="s">
        <v>11</v>
      </c>
      <c r="E540" s="12">
        <v>144641.55</v>
      </c>
    </row>
    <row r="541" spans="1:5">
      <c r="A541" s="10" t="s">
        <v>322</v>
      </c>
      <c r="B541" s="10" t="s">
        <v>55</v>
      </c>
      <c r="C541" s="10" t="s">
        <v>349</v>
      </c>
      <c r="D541" s="10" t="s">
        <v>9</v>
      </c>
      <c r="E541" s="12">
        <v>4801.6</v>
      </c>
    </row>
    <row r="542" spans="1:5">
      <c r="A542" s="10" t="s">
        <v>322</v>
      </c>
      <c r="B542" s="10" t="s">
        <v>55</v>
      </c>
      <c r="C542" s="10" t="s">
        <v>349</v>
      </c>
      <c r="D542" s="10" t="s">
        <v>11</v>
      </c>
      <c r="E542" s="12">
        <v>4385.58</v>
      </c>
    </row>
    <row r="543" spans="1:5">
      <c r="A543" s="10" t="s">
        <v>322</v>
      </c>
      <c r="B543" s="10" t="s">
        <v>55</v>
      </c>
      <c r="C543" s="10" t="s">
        <v>350</v>
      </c>
      <c r="D543" s="10" t="s">
        <v>9</v>
      </c>
      <c r="E543" s="12">
        <v>21991.41</v>
      </c>
    </row>
    <row r="544" spans="1:5">
      <c r="A544" s="10" t="s">
        <v>322</v>
      </c>
      <c r="B544" s="10" t="s">
        <v>55</v>
      </c>
      <c r="C544" s="10" t="s">
        <v>350</v>
      </c>
      <c r="D544" s="10" t="s">
        <v>11</v>
      </c>
      <c r="E544" s="12">
        <v>20132.22</v>
      </c>
    </row>
    <row r="545" spans="1:5">
      <c r="A545" s="10" t="s">
        <v>322</v>
      </c>
      <c r="B545" s="10" t="s">
        <v>55</v>
      </c>
      <c r="C545" s="10" t="s">
        <v>351</v>
      </c>
      <c r="D545" s="10" t="s">
        <v>9</v>
      </c>
      <c r="E545" s="12">
        <v>26094</v>
      </c>
    </row>
    <row r="546" spans="1:5">
      <c r="A546" s="10" t="s">
        <v>322</v>
      </c>
      <c r="B546" s="10" t="s">
        <v>55</v>
      </c>
      <c r="C546" s="10" t="s">
        <v>351</v>
      </c>
      <c r="D546" s="10" t="s">
        <v>11</v>
      </c>
      <c r="E546" s="12">
        <v>73955.42</v>
      </c>
    </row>
    <row r="547" spans="1:5">
      <c r="A547" s="10" t="s">
        <v>322</v>
      </c>
      <c r="B547" s="10" t="s">
        <v>55</v>
      </c>
      <c r="C547" s="10" t="s">
        <v>352</v>
      </c>
      <c r="D547" s="10" t="s">
        <v>9</v>
      </c>
      <c r="E547" s="12">
        <v>69064.42</v>
      </c>
    </row>
    <row r="548" spans="1:5">
      <c r="A548" s="10" t="s">
        <v>322</v>
      </c>
      <c r="B548" s="10" t="s">
        <v>55</v>
      </c>
      <c r="C548" s="10" t="s">
        <v>352</v>
      </c>
      <c r="D548" s="10" t="s">
        <v>11</v>
      </c>
      <c r="E548" s="12">
        <v>144840.24</v>
      </c>
    </row>
    <row r="549" spans="1:5">
      <c r="A549" s="10" t="s">
        <v>322</v>
      </c>
      <c r="B549" s="10" t="s">
        <v>55</v>
      </c>
      <c r="C549" s="10" t="s">
        <v>353</v>
      </c>
      <c r="D549" s="10" t="s">
        <v>9</v>
      </c>
      <c r="E549" s="12">
        <v>716637.09</v>
      </c>
    </row>
    <row r="550" spans="1:5">
      <c r="A550" s="10" t="s">
        <v>322</v>
      </c>
      <c r="B550" s="10" t="s">
        <v>55</v>
      </c>
      <c r="C550" s="10" t="s">
        <v>353</v>
      </c>
      <c r="D550" s="10" t="s">
        <v>11</v>
      </c>
      <c r="E550" s="12">
        <v>321587.31</v>
      </c>
    </row>
    <row r="551" spans="1:5">
      <c r="A551" s="10" t="s">
        <v>322</v>
      </c>
      <c r="B551" s="10" t="s">
        <v>55</v>
      </c>
      <c r="C551" s="10" t="s">
        <v>354</v>
      </c>
      <c r="D551" s="10" t="s">
        <v>9</v>
      </c>
      <c r="E551" s="12">
        <v>97404.69</v>
      </c>
    </row>
    <row r="552" spans="1:5">
      <c r="A552" s="10" t="s">
        <v>322</v>
      </c>
      <c r="B552" s="10" t="s">
        <v>55</v>
      </c>
      <c r="C552" s="10" t="s">
        <v>354</v>
      </c>
      <c r="D552" s="10" t="s">
        <v>11</v>
      </c>
      <c r="E552" s="12">
        <v>81168.83</v>
      </c>
    </row>
    <row r="553" spans="1:5">
      <c r="A553" s="10" t="s">
        <v>322</v>
      </c>
      <c r="B553" s="10" t="s">
        <v>55</v>
      </c>
      <c r="C553" s="10" t="s">
        <v>355</v>
      </c>
      <c r="D553" s="10" t="s">
        <v>9</v>
      </c>
      <c r="E553" s="12">
        <v>81498.09</v>
      </c>
    </row>
    <row r="554" spans="1:5">
      <c r="A554" s="10" t="s">
        <v>322</v>
      </c>
      <c r="B554" s="10" t="s">
        <v>55</v>
      </c>
      <c r="C554" s="10" t="s">
        <v>355</v>
      </c>
      <c r="D554" s="10" t="s">
        <v>11</v>
      </c>
      <c r="E554" s="12">
        <v>37787.45</v>
      </c>
    </row>
    <row r="555" spans="1:5">
      <c r="A555" s="10" t="s">
        <v>322</v>
      </c>
      <c r="B555" s="10" t="s">
        <v>55</v>
      </c>
      <c r="C555" s="10" t="s">
        <v>356</v>
      </c>
      <c r="D555" s="10" t="s">
        <v>9</v>
      </c>
      <c r="E555" s="12">
        <v>28805.72</v>
      </c>
    </row>
    <row r="556" spans="1:5">
      <c r="A556" s="10" t="s">
        <v>322</v>
      </c>
      <c r="B556" s="10" t="s">
        <v>55</v>
      </c>
      <c r="C556" s="10" t="s">
        <v>356</v>
      </c>
      <c r="D556" s="10" t="s">
        <v>11</v>
      </c>
      <c r="E556" s="12">
        <v>39938.7</v>
      </c>
    </row>
    <row r="557" spans="1:5">
      <c r="A557" s="10" t="s">
        <v>322</v>
      </c>
      <c r="B557" s="10" t="s">
        <v>55</v>
      </c>
      <c r="C557" s="10" t="s">
        <v>357</v>
      </c>
      <c r="D557" s="10" t="s">
        <v>9</v>
      </c>
      <c r="E557" s="12">
        <v>48774.31</v>
      </c>
    </row>
    <row r="558" spans="1:5">
      <c r="A558" s="10" t="s">
        <v>322</v>
      </c>
      <c r="B558" s="10" t="s">
        <v>55</v>
      </c>
      <c r="C558" s="10" t="s">
        <v>357</v>
      </c>
      <c r="D558" s="10" t="s">
        <v>11</v>
      </c>
      <c r="E558" s="12">
        <v>89976.42</v>
      </c>
    </row>
    <row r="559" spans="1:5">
      <c r="A559" s="10" t="s">
        <v>322</v>
      </c>
      <c r="B559" s="10" t="s">
        <v>55</v>
      </c>
      <c r="C559" s="10" t="s">
        <v>358</v>
      </c>
      <c r="D559" s="10" t="s">
        <v>9</v>
      </c>
      <c r="E559" s="12">
        <v>36851.84</v>
      </c>
    </row>
    <row r="560" spans="1:5">
      <c r="A560" s="10" t="s">
        <v>322</v>
      </c>
      <c r="B560" s="10" t="s">
        <v>55</v>
      </c>
      <c r="C560" s="10" t="s">
        <v>358</v>
      </c>
      <c r="D560" s="10" t="s">
        <v>11</v>
      </c>
      <c r="E560" s="12">
        <v>145137.07</v>
      </c>
    </row>
    <row r="561" spans="1:5">
      <c r="A561" s="10" t="s">
        <v>322</v>
      </c>
      <c r="B561" s="10" t="s">
        <v>55</v>
      </c>
      <c r="C561" s="10" t="s">
        <v>359</v>
      </c>
      <c r="D561" s="10" t="s">
        <v>9</v>
      </c>
      <c r="E561" s="12">
        <v>34580.57</v>
      </c>
    </row>
    <row r="562" spans="1:5">
      <c r="A562" s="10" t="s">
        <v>322</v>
      </c>
      <c r="B562" s="10" t="s">
        <v>55</v>
      </c>
      <c r="C562" s="10" t="s">
        <v>359</v>
      </c>
      <c r="D562" s="10" t="s">
        <v>11</v>
      </c>
      <c r="E562" s="12">
        <v>29159.93</v>
      </c>
    </row>
    <row r="563" spans="1:5">
      <c r="A563" s="10" t="s">
        <v>322</v>
      </c>
      <c r="B563" s="10" t="s">
        <v>55</v>
      </c>
      <c r="C563" s="10" t="s">
        <v>360</v>
      </c>
      <c r="D563" s="10" t="s">
        <v>9</v>
      </c>
      <c r="E563" s="12">
        <v>1702.6</v>
      </c>
    </row>
    <row r="564" spans="1:5">
      <c r="A564" s="10" t="s">
        <v>322</v>
      </c>
      <c r="B564" s="10" t="s">
        <v>55</v>
      </c>
      <c r="C564" s="10" t="s">
        <v>360</v>
      </c>
      <c r="D564" s="10" t="s">
        <v>11</v>
      </c>
      <c r="E564" s="12">
        <v>49210</v>
      </c>
    </row>
    <row r="565" spans="1:5">
      <c r="A565" s="10" t="s">
        <v>322</v>
      </c>
      <c r="B565" s="10" t="s">
        <v>55</v>
      </c>
      <c r="C565" s="10" t="s">
        <v>361</v>
      </c>
      <c r="D565" s="10" t="s">
        <v>9</v>
      </c>
      <c r="E565" s="12">
        <v>31883.31</v>
      </c>
    </row>
    <row r="566" spans="1:5">
      <c r="A566" s="10" t="s">
        <v>322</v>
      </c>
      <c r="B566" s="10" t="s">
        <v>55</v>
      </c>
      <c r="C566" s="10" t="s">
        <v>361</v>
      </c>
      <c r="D566" s="10" t="s">
        <v>11</v>
      </c>
      <c r="E566" s="12">
        <v>18795.38</v>
      </c>
    </row>
    <row r="567" spans="1:5">
      <c r="A567" s="10" t="s">
        <v>322</v>
      </c>
      <c r="B567" s="10" t="s">
        <v>55</v>
      </c>
      <c r="C567" s="10" t="s">
        <v>362</v>
      </c>
      <c r="D567" s="10" t="s">
        <v>9</v>
      </c>
      <c r="E567" s="12">
        <v>46931.81</v>
      </c>
    </row>
    <row r="568" spans="1:5">
      <c r="A568" s="10" t="s">
        <v>322</v>
      </c>
      <c r="B568" s="10" t="s">
        <v>55</v>
      </c>
      <c r="C568" s="10" t="s">
        <v>362</v>
      </c>
      <c r="D568" s="10" t="s">
        <v>11</v>
      </c>
      <c r="E568" s="12">
        <v>35086.64</v>
      </c>
    </row>
    <row r="569" spans="1:5">
      <c r="A569" s="10" t="s">
        <v>322</v>
      </c>
      <c r="B569" s="10" t="s">
        <v>55</v>
      </c>
      <c r="C569" s="10" t="s">
        <v>363</v>
      </c>
      <c r="D569" s="10" t="s">
        <v>9</v>
      </c>
      <c r="E569" s="12">
        <v>61874.69</v>
      </c>
    </row>
    <row r="570" spans="1:5">
      <c r="A570" s="10" t="s">
        <v>322</v>
      </c>
      <c r="B570" s="10" t="s">
        <v>55</v>
      </c>
      <c r="C570" s="10" t="s">
        <v>363</v>
      </c>
      <c r="D570" s="10" t="s">
        <v>11</v>
      </c>
      <c r="E570" s="12">
        <v>21726.68</v>
      </c>
    </row>
    <row r="571" spans="1:5">
      <c r="A571" s="10" t="s">
        <v>322</v>
      </c>
      <c r="B571" s="10" t="s">
        <v>55</v>
      </c>
      <c r="C571" s="10" t="s">
        <v>364</v>
      </c>
      <c r="D571" s="10" t="s">
        <v>9</v>
      </c>
      <c r="E571" s="12">
        <v>70699.32000000001</v>
      </c>
    </row>
    <row r="572" spans="1:5">
      <c r="A572" s="10" t="s">
        <v>322</v>
      </c>
      <c r="B572" s="10" t="s">
        <v>55</v>
      </c>
      <c r="C572" s="10" t="s">
        <v>364</v>
      </c>
      <c r="D572" s="10" t="s">
        <v>11</v>
      </c>
      <c r="E572" s="12">
        <v>9895.450000000001</v>
      </c>
    </row>
    <row r="573" spans="1:5">
      <c r="A573" s="10" t="s">
        <v>322</v>
      </c>
      <c r="B573" s="10" t="s">
        <v>55</v>
      </c>
      <c r="C573" s="10" t="s">
        <v>365</v>
      </c>
      <c r="D573" s="10" t="s">
        <v>9</v>
      </c>
      <c r="E573" s="12">
        <v>-6582.42</v>
      </c>
    </row>
    <row r="574" spans="1:5">
      <c r="A574" s="10" t="s">
        <v>322</v>
      </c>
      <c r="B574" s="10" t="s">
        <v>55</v>
      </c>
      <c r="C574" s="10" t="s">
        <v>365</v>
      </c>
      <c r="D574" s="10" t="s">
        <v>11</v>
      </c>
      <c r="E574" s="12">
        <v>1972.23</v>
      </c>
    </row>
    <row r="575" spans="1:5">
      <c r="A575" s="10" t="s">
        <v>322</v>
      </c>
      <c r="B575" s="10" t="s">
        <v>55</v>
      </c>
      <c r="C575" s="10" t="s">
        <v>366</v>
      </c>
      <c r="D575" s="10" t="s">
        <v>9</v>
      </c>
      <c r="E575" s="12">
        <v>38970.3</v>
      </c>
    </row>
    <row r="576" spans="1:5">
      <c r="A576" s="10" t="s">
        <v>322</v>
      </c>
      <c r="B576" s="10" t="s">
        <v>55</v>
      </c>
      <c r="C576" s="10" t="s">
        <v>366</v>
      </c>
      <c r="D576" s="10" t="s">
        <v>11</v>
      </c>
      <c r="E576" s="12">
        <v>41153.79</v>
      </c>
    </row>
    <row r="577" spans="1:5">
      <c r="A577" s="10" t="s">
        <v>322</v>
      </c>
      <c r="B577" s="10" t="s">
        <v>55</v>
      </c>
      <c r="C577" s="10" t="s">
        <v>367</v>
      </c>
      <c r="D577" s="10" t="s">
        <v>9</v>
      </c>
      <c r="E577" s="12">
        <v>12785.23</v>
      </c>
    </row>
    <row r="578" spans="1:5">
      <c r="A578" s="10" t="s">
        <v>322</v>
      </c>
      <c r="B578" s="10" t="s">
        <v>55</v>
      </c>
      <c r="C578" s="10" t="s">
        <v>367</v>
      </c>
      <c r="D578" s="10" t="s">
        <v>11</v>
      </c>
      <c r="E578" s="12">
        <v>2353.28</v>
      </c>
    </row>
    <row r="579" spans="1:5">
      <c r="A579" s="10" t="s">
        <v>322</v>
      </c>
      <c r="B579" s="10" t="s">
        <v>55</v>
      </c>
      <c r="C579" s="10" t="s">
        <v>368</v>
      </c>
      <c r="D579" s="10" t="s">
        <v>9</v>
      </c>
      <c r="E579" s="12">
        <v>36800.32</v>
      </c>
    </row>
    <row r="580" spans="1:5">
      <c r="A580" s="10" t="s">
        <v>322</v>
      </c>
      <c r="B580" s="10" t="s">
        <v>55</v>
      </c>
      <c r="C580" s="10" t="s">
        <v>368</v>
      </c>
      <c r="D580" s="10" t="s">
        <v>11</v>
      </c>
      <c r="E580" s="12">
        <v>139562.44</v>
      </c>
    </row>
    <row r="581" spans="1:5">
      <c r="A581" s="10" t="s">
        <v>322</v>
      </c>
      <c r="B581" s="10" t="s">
        <v>55</v>
      </c>
      <c r="C581" s="10" t="s">
        <v>369</v>
      </c>
      <c r="D581" s="10" t="s">
        <v>9</v>
      </c>
      <c r="E581" s="12">
        <v>0</v>
      </c>
    </row>
    <row r="582" spans="1:5">
      <c r="A582" s="10" t="s">
        <v>322</v>
      </c>
      <c r="B582" s="10" t="s">
        <v>55</v>
      </c>
      <c r="C582" s="10" t="s">
        <v>369</v>
      </c>
      <c r="D582" s="10" t="s">
        <v>11</v>
      </c>
      <c r="E582" s="12">
        <v>1219.12</v>
      </c>
    </row>
    <row r="583" spans="1:5">
      <c r="A583" s="10" t="s">
        <v>322</v>
      </c>
      <c r="B583" s="10" t="s">
        <v>55</v>
      </c>
      <c r="C583" s="10" t="s">
        <v>370</v>
      </c>
      <c r="D583" s="10" t="s">
        <v>9</v>
      </c>
      <c r="E583" s="12">
        <v>774045.08</v>
      </c>
    </row>
    <row r="584" spans="1:5">
      <c r="A584" s="10" t="s">
        <v>322</v>
      </c>
      <c r="B584" s="10" t="s">
        <v>55</v>
      </c>
      <c r="C584" s="10" t="s">
        <v>370</v>
      </c>
      <c r="D584" s="10" t="s">
        <v>11</v>
      </c>
      <c r="E584" s="12">
        <v>695924.9300000001</v>
      </c>
    </row>
    <row r="585" spans="1:5">
      <c r="A585" s="10" t="s">
        <v>322</v>
      </c>
      <c r="B585" s="10" t="s">
        <v>55</v>
      </c>
      <c r="C585" s="10" t="s">
        <v>371</v>
      </c>
      <c r="D585" s="10" t="s">
        <v>9</v>
      </c>
      <c r="E585" s="12">
        <v>174164.25</v>
      </c>
    </row>
    <row r="586" spans="1:5">
      <c r="A586" s="10" t="s">
        <v>322</v>
      </c>
      <c r="B586" s="10" t="s">
        <v>55</v>
      </c>
      <c r="C586" s="10" t="s">
        <v>371</v>
      </c>
      <c r="D586" s="10" t="s">
        <v>11</v>
      </c>
      <c r="E586" s="12">
        <v>1421.2</v>
      </c>
    </row>
    <row r="587" spans="1:5">
      <c r="A587" s="10" t="s">
        <v>322</v>
      </c>
      <c r="B587" s="10" t="s">
        <v>55</v>
      </c>
      <c r="C587" s="10" t="s">
        <v>372</v>
      </c>
      <c r="D587" s="10" t="s">
        <v>9</v>
      </c>
      <c r="E587" s="12">
        <v>30047.62</v>
      </c>
    </row>
    <row r="588" spans="1:5">
      <c r="A588" s="10" t="s">
        <v>322</v>
      </c>
      <c r="B588" s="10" t="s">
        <v>55</v>
      </c>
      <c r="C588" s="10" t="s">
        <v>372</v>
      </c>
      <c r="D588" s="10" t="s">
        <v>11</v>
      </c>
      <c r="E588" s="12">
        <v>49989.66</v>
      </c>
    </row>
    <row r="589" spans="1:5">
      <c r="A589" s="10" t="s">
        <v>322</v>
      </c>
      <c r="B589" s="10" t="s">
        <v>55</v>
      </c>
      <c r="C589" s="10" t="s">
        <v>373</v>
      </c>
      <c r="D589" s="10" t="s">
        <v>9</v>
      </c>
      <c r="E589" s="12">
        <v>0</v>
      </c>
    </row>
    <row r="590" spans="1:5">
      <c r="A590" s="10" t="s">
        <v>322</v>
      </c>
      <c r="B590" s="10" t="s">
        <v>55</v>
      </c>
      <c r="C590" s="10" t="s">
        <v>373</v>
      </c>
      <c r="D590" s="10" t="s">
        <v>11</v>
      </c>
      <c r="E590" s="12">
        <v>0</v>
      </c>
    </row>
    <row r="591" spans="1:5">
      <c r="A591" s="10" t="s">
        <v>322</v>
      </c>
      <c r="B591" s="10" t="s">
        <v>55</v>
      </c>
      <c r="C591" s="10" t="s">
        <v>374</v>
      </c>
      <c r="D591" s="10" t="s">
        <v>9</v>
      </c>
      <c r="E591" s="12">
        <v>92294.53</v>
      </c>
    </row>
    <row r="592" spans="1:5">
      <c r="A592" s="10" t="s">
        <v>322</v>
      </c>
      <c r="B592" s="10" t="s">
        <v>55</v>
      </c>
      <c r="C592" s="10" t="s">
        <v>374</v>
      </c>
      <c r="D592" s="10" t="s">
        <v>11</v>
      </c>
      <c r="E592" s="12">
        <v>165779.11</v>
      </c>
    </row>
    <row r="593" spans="1:5">
      <c r="A593" s="10" t="s">
        <v>322</v>
      </c>
      <c r="B593" s="10" t="s">
        <v>55</v>
      </c>
      <c r="C593" s="10" t="s">
        <v>375</v>
      </c>
      <c r="D593" s="10" t="s">
        <v>9</v>
      </c>
      <c r="E593" s="12">
        <v>68411.61</v>
      </c>
    </row>
    <row r="594" spans="1:5">
      <c r="A594" s="10" t="s">
        <v>322</v>
      </c>
      <c r="B594" s="10" t="s">
        <v>55</v>
      </c>
      <c r="C594" s="10" t="s">
        <v>375</v>
      </c>
      <c r="D594" s="10" t="s">
        <v>11</v>
      </c>
      <c r="E594" s="12">
        <v>63449.57</v>
      </c>
    </row>
    <row r="595" spans="1:5">
      <c r="A595" s="10" t="s">
        <v>322</v>
      </c>
      <c r="B595" s="10" t="s">
        <v>55</v>
      </c>
      <c r="C595" s="10" t="s">
        <v>376</v>
      </c>
      <c r="D595" s="10" t="s">
        <v>9</v>
      </c>
      <c r="E595" s="12">
        <v>4866.5</v>
      </c>
    </row>
    <row r="596" spans="1:5">
      <c r="A596" s="10" t="s">
        <v>322</v>
      </c>
      <c r="B596" s="10" t="s">
        <v>55</v>
      </c>
      <c r="C596" s="10" t="s">
        <v>376</v>
      </c>
      <c r="D596" s="10" t="s">
        <v>11</v>
      </c>
      <c r="E596" s="12">
        <v>96484.05</v>
      </c>
    </row>
    <row r="597" spans="1:5">
      <c r="A597" s="10" t="s">
        <v>322</v>
      </c>
      <c r="B597" s="10" t="s">
        <v>55</v>
      </c>
      <c r="C597" s="10" t="s">
        <v>377</v>
      </c>
      <c r="D597" s="10" t="s">
        <v>9</v>
      </c>
      <c r="E597" s="12">
        <v>419451.4</v>
      </c>
    </row>
    <row r="598" spans="1:5">
      <c r="A598" s="10" t="s">
        <v>322</v>
      </c>
      <c r="B598" s="10" t="s">
        <v>55</v>
      </c>
      <c r="C598" s="10" t="s">
        <v>377</v>
      </c>
      <c r="D598" s="10" t="s">
        <v>11</v>
      </c>
      <c r="E598" s="12">
        <v>405343.57</v>
      </c>
    </row>
    <row r="599" spans="1:5">
      <c r="A599" s="10" t="s">
        <v>322</v>
      </c>
      <c r="B599" s="10" t="s">
        <v>55</v>
      </c>
      <c r="C599" s="10" t="s">
        <v>378</v>
      </c>
      <c r="D599" s="10" t="s">
        <v>9</v>
      </c>
      <c r="E599" s="12">
        <v>3186.06</v>
      </c>
    </row>
    <row r="600" spans="1:5">
      <c r="A600" s="10" t="s">
        <v>322</v>
      </c>
      <c r="B600" s="10" t="s">
        <v>55</v>
      </c>
      <c r="C600" s="10" t="s">
        <v>378</v>
      </c>
      <c r="D600" s="10" t="s">
        <v>11</v>
      </c>
      <c r="E600" s="12">
        <v>4527.57</v>
      </c>
    </row>
    <row r="601" spans="1:5">
      <c r="A601" s="10" t="s">
        <v>322</v>
      </c>
      <c r="B601" s="10" t="s">
        <v>55</v>
      </c>
      <c r="C601" s="10" t="s">
        <v>379</v>
      </c>
      <c r="D601" s="10" t="s">
        <v>9</v>
      </c>
      <c r="E601" s="12">
        <v>29793.7</v>
      </c>
    </row>
    <row r="602" spans="1:5">
      <c r="A602" s="10" t="s">
        <v>322</v>
      </c>
      <c r="B602" s="10" t="s">
        <v>55</v>
      </c>
      <c r="C602" s="10" t="s">
        <v>379</v>
      </c>
      <c r="D602" s="10" t="s">
        <v>11</v>
      </c>
      <c r="E602" s="12">
        <v>32820.51</v>
      </c>
    </row>
    <row r="603" spans="1:5">
      <c r="A603" s="10" t="s">
        <v>322</v>
      </c>
      <c r="B603" s="10" t="s">
        <v>55</v>
      </c>
      <c r="C603" s="10" t="s">
        <v>380</v>
      </c>
      <c r="D603" s="10" t="s">
        <v>9</v>
      </c>
      <c r="E603" s="12">
        <v>91885</v>
      </c>
    </row>
    <row r="604" spans="1:5">
      <c r="A604" s="10" t="s">
        <v>322</v>
      </c>
      <c r="B604" s="10" t="s">
        <v>55</v>
      </c>
      <c r="C604" s="10" t="s">
        <v>380</v>
      </c>
      <c r="D604" s="10" t="s">
        <v>11</v>
      </c>
      <c r="E604" s="12">
        <v>49136.16</v>
      </c>
    </row>
    <row r="605" spans="1:5">
      <c r="A605" s="10" t="s">
        <v>322</v>
      </c>
      <c r="B605" s="10" t="s">
        <v>55</v>
      </c>
      <c r="C605" s="10" t="s">
        <v>381</v>
      </c>
      <c r="D605" s="10" t="s">
        <v>9</v>
      </c>
      <c r="E605" s="12">
        <v>0</v>
      </c>
    </row>
    <row r="606" spans="1:5">
      <c r="A606" s="10" t="s">
        <v>322</v>
      </c>
      <c r="B606" s="10" t="s">
        <v>55</v>
      </c>
      <c r="C606" s="10" t="s">
        <v>381</v>
      </c>
      <c r="D606" s="10" t="s">
        <v>11</v>
      </c>
      <c r="E606" s="12">
        <v>-87.83</v>
      </c>
    </row>
    <row r="607" spans="1:5">
      <c r="A607" s="10" t="s">
        <v>322</v>
      </c>
      <c r="B607" s="10" t="s">
        <v>55</v>
      </c>
      <c r="C607" s="10" t="s">
        <v>382</v>
      </c>
      <c r="D607" s="10" t="s">
        <v>9</v>
      </c>
      <c r="E607" s="12">
        <v>5363.67</v>
      </c>
    </row>
    <row r="608" spans="1:5">
      <c r="A608" s="10" t="s">
        <v>322</v>
      </c>
      <c r="B608" s="10" t="s">
        <v>55</v>
      </c>
      <c r="C608" s="10" t="s">
        <v>382</v>
      </c>
      <c r="D608" s="10" t="s">
        <v>11</v>
      </c>
      <c r="E608" s="12">
        <v>27065.95</v>
      </c>
    </row>
    <row r="609" spans="1:5">
      <c r="A609" s="10" t="s">
        <v>322</v>
      </c>
      <c r="B609" s="10" t="s">
        <v>55</v>
      </c>
      <c r="C609" s="10" t="s">
        <v>383</v>
      </c>
      <c r="D609" s="10" t="s">
        <v>9</v>
      </c>
      <c r="E609" s="12">
        <v>294818.3</v>
      </c>
    </row>
    <row r="610" spans="1:5">
      <c r="A610" s="10" t="s">
        <v>322</v>
      </c>
      <c r="B610" s="10" t="s">
        <v>55</v>
      </c>
      <c r="C610" s="10" t="s">
        <v>383</v>
      </c>
      <c r="D610" s="10" t="s">
        <v>11</v>
      </c>
      <c r="E610" s="12">
        <v>214170.75</v>
      </c>
    </row>
    <row r="611" spans="1:5">
      <c r="A611" s="10" t="s">
        <v>322</v>
      </c>
      <c r="B611" s="10" t="s">
        <v>55</v>
      </c>
      <c r="C611" s="10" t="s">
        <v>384</v>
      </c>
      <c r="D611" s="10" t="s">
        <v>9</v>
      </c>
      <c r="E611" s="12">
        <v>176444.83</v>
      </c>
    </row>
    <row r="612" spans="1:5">
      <c r="A612" s="10" t="s">
        <v>322</v>
      </c>
      <c r="B612" s="10" t="s">
        <v>55</v>
      </c>
      <c r="C612" s="10" t="s">
        <v>384</v>
      </c>
      <c r="D612" s="10" t="s">
        <v>11</v>
      </c>
      <c r="E612" s="12">
        <v>-104711.23</v>
      </c>
    </row>
    <row r="613" spans="1:5">
      <c r="A613" s="10" t="s">
        <v>322</v>
      </c>
      <c r="B613" s="10" t="s">
        <v>55</v>
      </c>
      <c r="C613" s="10" t="s">
        <v>385</v>
      </c>
      <c r="D613" s="10" t="s">
        <v>9</v>
      </c>
      <c r="E613" s="12">
        <v>39358.51</v>
      </c>
    </row>
    <row r="614" spans="1:5">
      <c r="A614" s="10" t="s">
        <v>322</v>
      </c>
      <c r="B614" s="10" t="s">
        <v>55</v>
      </c>
      <c r="C614" s="10" t="s">
        <v>385</v>
      </c>
      <c r="D614" s="10" t="s">
        <v>11</v>
      </c>
      <c r="E614" s="12">
        <v>82457.88</v>
      </c>
    </row>
    <row r="615" spans="1:5">
      <c r="A615" s="10" t="s">
        <v>322</v>
      </c>
      <c r="B615" s="10" t="s">
        <v>55</v>
      </c>
      <c r="C615" s="10" t="s">
        <v>386</v>
      </c>
      <c r="D615" s="10" t="s">
        <v>9</v>
      </c>
      <c r="E615" s="12">
        <v>61543.28</v>
      </c>
    </row>
    <row r="616" spans="1:5">
      <c r="A616" s="10" t="s">
        <v>322</v>
      </c>
      <c r="B616" s="10" t="s">
        <v>55</v>
      </c>
      <c r="C616" s="10" t="s">
        <v>386</v>
      </c>
      <c r="D616" s="10" t="s">
        <v>11</v>
      </c>
      <c r="E616" s="12">
        <v>48891.82</v>
      </c>
    </row>
    <row r="617" spans="1:5">
      <c r="A617" s="10" t="s">
        <v>322</v>
      </c>
      <c r="B617" s="10" t="s">
        <v>55</v>
      </c>
      <c r="C617" s="10" t="s">
        <v>387</v>
      </c>
      <c r="D617" s="10" t="s">
        <v>9</v>
      </c>
      <c r="E617" s="12">
        <v>250954.46</v>
      </c>
    </row>
    <row r="618" spans="1:5">
      <c r="A618" s="10" t="s">
        <v>322</v>
      </c>
      <c r="B618" s="10" t="s">
        <v>55</v>
      </c>
      <c r="C618" s="10" t="s">
        <v>387</v>
      </c>
      <c r="D618" s="10" t="s">
        <v>11</v>
      </c>
      <c r="E618" s="12">
        <v>188680.8</v>
      </c>
    </row>
    <row r="619" spans="1:5">
      <c r="A619" s="10" t="s">
        <v>322</v>
      </c>
      <c r="B619" s="10" t="s">
        <v>55</v>
      </c>
      <c r="C619" s="10" t="s">
        <v>388</v>
      </c>
      <c r="D619" s="10" t="s">
        <v>9</v>
      </c>
      <c r="E619" s="12">
        <v>51156.81</v>
      </c>
    </row>
    <row r="620" spans="1:5">
      <c r="A620" s="10" t="s">
        <v>322</v>
      </c>
      <c r="B620" s="10" t="s">
        <v>55</v>
      </c>
      <c r="C620" s="10" t="s">
        <v>388</v>
      </c>
      <c r="D620" s="10" t="s">
        <v>11</v>
      </c>
      <c r="E620" s="12">
        <v>188371.28</v>
      </c>
    </row>
    <row r="621" spans="1:5">
      <c r="A621" s="10" t="s">
        <v>322</v>
      </c>
      <c r="B621" s="10" t="s">
        <v>55</v>
      </c>
      <c r="C621" s="10" t="s">
        <v>389</v>
      </c>
      <c r="D621" s="10" t="s">
        <v>9</v>
      </c>
      <c r="E621" s="12">
        <v>17665.5</v>
      </c>
    </row>
    <row r="622" spans="1:5">
      <c r="A622" s="10" t="s">
        <v>322</v>
      </c>
      <c r="B622" s="10" t="s">
        <v>55</v>
      </c>
      <c r="C622" s="10" t="s">
        <v>389</v>
      </c>
      <c r="D622" s="10" t="s">
        <v>11</v>
      </c>
      <c r="E622" s="12">
        <v>94978.08</v>
      </c>
    </row>
    <row r="623" spans="1:5">
      <c r="A623" s="10" t="s">
        <v>322</v>
      </c>
      <c r="B623" s="10" t="s">
        <v>55</v>
      </c>
      <c r="C623" s="10" t="s">
        <v>390</v>
      </c>
      <c r="D623" s="10" t="s">
        <v>9</v>
      </c>
      <c r="E623" s="12">
        <v>285390.86</v>
      </c>
    </row>
    <row r="624" spans="1:5">
      <c r="A624" s="10" t="s">
        <v>322</v>
      </c>
      <c r="B624" s="10" t="s">
        <v>55</v>
      </c>
      <c r="C624" s="10" t="s">
        <v>390</v>
      </c>
      <c r="D624" s="10" t="s">
        <v>11</v>
      </c>
      <c r="E624" s="12">
        <v>-88890.38</v>
      </c>
    </row>
    <row r="625" spans="1:5">
      <c r="A625" s="10" t="s">
        <v>322</v>
      </c>
      <c r="B625" s="10" t="s">
        <v>55</v>
      </c>
      <c r="C625" s="10" t="s">
        <v>391</v>
      </c>
      <c r="D625" s="10" t="s">
        <v>9</v>
      </c>
      <c r="E625" s="12">
        <v>167358.02</v>
      </c>
    </row>
    <row r="626" spans="1:5">
      <c r="A626" s="10" t="s">
        <v>322</v>
      </c>
      <c r="B626" s="10" t="s">
        <v>55</v>
      </c>
      <c r="C626" s="10" t="s">
        <v>391</v>
      </c>
      <c r="D626" s="10" t="s">
        <v>11</v>
      </c>
      <c r="E626" s="12">
        <v>-103477.24</v>
      </c>
    </row>
    <row r="627" spans="1:5">
      <c r="A627" s="10" t="s">
        <v>322</v>
      </c>
      <c r="B627" s="10" t="s">
        <v>55</v>
      </c>
      <c r="C627" s="10" t="s">
        <v>392</v>
      </c>
      <c r="D627" s="10" t="s">
        <v>9</v>
      </c>
      <c r="E627" s="12">
        <v>11038.4</v>
      </c>
    </row>
    <row r="628" spans="1:5">
      <c r="A628" s="10" t="s">
        <v>322</v>
      </c>
      <c r="B628" s="10" t="s">
        <v>55</v>
      </c>
      <c r="C628" s="10" t="s">
        <v>392</v>
      </c>
      <c r="D628" s="10" t="s">
        <v>11</v>
      </c>
      <c r="E628" s="12">
        <v>2000.38</v>
      </c>
    </row>
    <row r="629" spans="1:5">
      <c r="A629" s="10" t="s">
        <v>322</v>
      </c>
      <c r="B629" s="10" t="s">
        <v>55</v>
      </c>
      <c r="C629" s="10" t="s">
        <v>393</v>
      </c>
      <c r="D629" s="10" t="s">
        <v>9</v>
      </c>
      <c r="E629" s="12">
        <v>75597.33</v>
      </c>
    </row>
    <row r="630" spans="1:5">
      <c r="A630" s="10" t="s">
        <v>322</v>
      </c>
      <c r="B630" s="10" t="s">
        <v>55</v>
      </c>
      <c r="C630" s="10" t="s">
        <v>393</v>
      </c>
      <c r="D630" s="10" t="s">
        <v>11</v>
      </c>
      <c r="E630" s="12">
        <v>71305.85000000001</v>
      </c>
    </row>
    <row r="631" spans="1:5">
      <c r="A631" s="10" t="s">
        <v>322</v>
      </c>
      <c r="B631" s="10" t="s">
        <v>55</v>
      </c>
      <c r="C631" s="10" t="s">
        <v>394</v>
      </c>
      <c r="D631" s="10" t="s">
        <v>9</v>
      </c>
      <c r="E631" s="12">
        <v>31449.74</v>
      </c>
    </row>
    <row r="632" spans="1:5">
      <c r="A632" s="10" t="s">
        <v>322</v>
      </c>
      <c r="B632" s="10" t="s">
        <v>55</v>
      </c>
      <c r="C632" s="10" t="s">
        <v>394</v>
      </c>
      <c r="D632" s="10" t="s">
        <v>11</v>
      </c>
      <c r="E632" s="12">
        <v>17079.59</v>
      </c>
    </row>
    <row r="633" spans="1:5">
      <c r="A633" s="10" t="s">
        <v>322</v>
      </c>
      <c r="B633" s="10" t="s">
        <v>55</v>
      </c>
      <c r="C633" s="10" t="s">
        <v>395</v>
      </c>
      <c r="D633" s="10" t="s">
        <v>9</v>
      </c>
      <c r="E633" s="12">
        <v>24492.16</v>
      </c>
    </row>
    <row r="634" spans="1:5">
      <c r="A634" s="10" t="s">
        <v>322</v>
      </c>
      <c r="B634" s="10" t="s">
        <v>55</v>
      </c>
      <c r="C634" s="10" t="s">
        <v>395</v>
      </c>
      <c r="D634" s="10" t="s">
        <v>11</v>
      </c>
      <c r="E634" s="12">
        <v>20175.33</v>
      </c>
    </row>
    <row r="635" spans="1:5">
      <c r="A635" s="10" t="s">
        <v>322</v>
      </c>
      <c r="B635" s="10" t="s">
        <v>55</v>
      </c>
      <c r="C635" s="10" t="s">
        <v>396</v>
      </c>
      <c r="D635" s="10" t="s">
        <v>9</v>
      </c>
      <c r="E635" s="12">
        <v>103635.77</v>
      </c>
    </row>
    <row r="636" spans="1:5">
      <c r="A636" s="10" t="s">
        <v>322</v>
      </c>
      <c r="B636" s="10" t="s">
        <v>55</v>
      </c>
      <c r="C636" s="10" t="s">
        <v>396</v>
      </c>
      <c r="D636" s="10" t="s">
        <v>11</v>
      </c>
      <c r="E636" s="12">
        <v>56285.14</v>
      </c>
    </row>
    <row r="637" spans="1:5">
      <c r="A637" s="10" t="s">
        <v>322</v>
      </c>
      <c r="B637" s="10" t="s">
        <v>55</v>
      </c>
      <c r="C637" s="10" t="s">
        <v>397</v>
      </c>
      <c r="D637" s="10" t="s">
        <v>9</v>
      </c>
      <c r="E637" s="12">
        <v>72257.08</v>
      </c>
    </row>
    <row r="638" spans="1:5">
      <c r="A638" s="10" t="s">
        <v>322</v>
      </c>
      <c r="B638" s="10" t="s">
        <v>55</v>
      </c>
      <c r="C638" s="10" t="s">
        <v>397</v>
      </c>
      <c r="D638" s="10" t="s">
        <v>11</v>
      </c>
      <c r="E638" s="12">
        <v>46390.94</v>
      </c>
    </row>
    <row r="639" spans="1:5">
      <c r="A639" s="10" t="s">
        <v>322</v>
      </c>
      <c r="B639" s="10" t="s">
        <v>55</v>
      </c>
      <c r="C639" s="10" t="s">
        <v>398</v>
      </c>
      <c r="D639" s="10" t="s">
        <v>9</v>
      </c>
      <c r="E639" s="12">
        <v>224724.33</v>
      </c>
    </row>
    <row r="640" spans="1:5">
      <c r="A640" s="10" t="s">
        <v>322</v>
      </c>
      <c r="B640" s="10" t="s">
        <v>55</v>
      </c>
      <c r="C640" s="10" t="s">
        <v>398</v>
      </c>
      <c r="D640" s="10" t="s">
        <v>11</v>
      </c>
      <c r="E640" s="12">
        <v>45318.49</v>
      </c>
    </row>
    <row r="641" spans="1:5">
      <c r="A641" s="10" t="s">
        <v>322</v>
      </c>
      <c r="B641" s="10" t="s">
        <v>55</v>
      </c>
      <c r="C641" s="10" t="s">
        <v>399</v>
      </c>
      <c r="D641" s="10" t="s">
        <v>9</v>
      </c>
      <c r="E641" s="12">
        <v>0</v>
      </c>
    </row>
    <row r="642" spans="1:5">
      <c r="A642" s="10" t="s">
        <v>322</v>
      </c>
      <c r="B642" s="10" t="s">
        <v>55</v>
      </c>
      <c r="C642" s="10" t="s">
        <v>399</v>
      </c>
      <c r="D642" s="10" t="s">
        <v>11</v>
      </c>
      <c r="E642" s="12">
        <v>0</v>
      </c>
    </row>
    <row r="643" spans="1:5">
      <c r="A643" s="10" t="s">
        <v>322</v>
      </c>
      <c r="B643" s="10" t="s">
        <v>55</v>
      </c>
      <c r="C643" s="10" t="s">
        <v>400</v>
      </c>
      <c r="D643" s="10" t="s">
        <v>9</v>
      </c>
      <c r="E643" s="12">
        <v>8475.690000000001</v>
      </c>
    </row>
    <row r="644" spans="1:5">
      <c r="A644" s="10" t="s">
        <v>322</v>
      </c>
      <c r="B644" s="10" t="s">
        <v>55</v>
      </c>
      <c r="C644" s="10" t="s">
        <v>400</v>
      </c>
      <c r="D644" s="10" t="s">
        <v>11</v>
      </c>
      <c r="E644" s="12">
        <v>8253.620000000001</v>
      </c>
    </row>
    <row r="645" spans="1:5">
      <c r="A645" s="10" t="s">
        <v>322</v>
      </c>
      <c r="B645" s="10" t="s">
        <v>55</v>
      </c>
      <c r="C645" s="10" t="s">
        <v>401</v>
      </c>
      <c r="D645" s="10" t="s">
        <v>9</v>
      </c>
      <c r="E645" s="12">
        <v>15735</v>
      </c>
    </row>
    <row r="646" spans="1:5">
      <c r="A646" s="10" t="s">
        <v>322</v>
      </c>
      <c r="B646" s="10" t="s">
        <v>55</v>
      </c>
      <c r="C646" s="10" t="s">
        <v>401</v>
      </c>
      <c r="D646" s="10" t="s">
        <v>11</v>
      </c>
      <c r="E646" s="12">
        <v>6372.74</v>
      </c>
    </row>
    <row r="647" spans="1:5">
      <c r="A647" s="10" t="s">
        <v>322</v>
      </c>
      <c r="B647" s="10" t="s">
        <v>55</v>
      </c>
      <c r="C647" s="10" t="s">
        <v>402</v>
      </c>
      <c r="D647" s="10" t="s">
        <v>9</v>
      </c>
      <c r="E647" s="12">
        <v>162706.18</v>
      </c>
    </row>
    <row r="648" spans="1:5">
      <c r="A648" s="10" t="s">
        <v>322</v>
      </c>
      <c r="B648" s="10" t="s">
        <v>55</v>
      </c>
      <c r="C648" s="10" t="s">
        <v>402</v>
      </c>
      <c r="D648" s="10" t="s">
        <v>11</v>
      </c>
      <c r="E648" s="12">
        <v>25326.95</v>
      </c>
    </row>
    <row r="649" spans="1:5">
      <c r="A649" s="10" t="s">
        <v>322</v>
      </c>
      <c r="B649" s="10" t="s">
        <v>55</v>
      </c>
      <c r="C649" s="10" t="s">
        <v>403</v>
      </c>
      <c r="D649" s="10" t="s">
        <v>9</v>
      </c>
      <c r="E649" s="12">
        <v>11155.11</v>
      </c>
    </row>
    <row r="650" spans="1:5">
      <c r="A650" s="10" t="s">
        <v>322</v>
      </c>
      <c r="B650" s="10" t="s">
        <v>55</v>
      </c>
      <c r="C650" s="10" t="s">
        <v>403</v>
      </c>
      <c r="D650" s="10" t="s">
        <v>11</v>
      </c>
      <c r="E650" s="12">
        <v>6597.8</v>
      </c>
    </row>
    <row r="651" spans="1:5">
      <c r="A651" s="10" t="s">
        <v>322</v>
      </c>
      <c r="B651" s="10" t="s">
        <v>55</v>
      </c>
      <c r="C651" s="10" t="s">
        <v>404</v>
      </c>
      <c r="D651" s="10" t="s">
        <v>9</v>
      </c>
      <c r="E651" s="12">
        <v>6329.2</v>
      </c>
    </row>
    <row r="652" spans="1:5">
      <c r="A652" s="10" t="s">
        <v>322</v>
      </c>
      <c r="B652" s="10" t="s">
        <v>55</v>
      </c>
      <c r="C652" s="10" t="s">
        <v>404</v>
      </c>
      <c r="D652" s="10" t="s">
        <v>11</v>
      </c>
      <c r="E652" s="12">
        <v>16726.61</v>
      </c>
    </row>
    <row r="653" spans="1:5">
      <c r="A653" s="10" t="s">
        <v>322</v>
      </c>
      <c r="B653" s="10" t="s">
        <v>55</v>
      </c>
      <c r="C653" s="10" t="s">
        <v>405</v>
      </c>
      <c r="D653" s="10" t="s">
        <v>9</v>
      </c>
      <c r="E653" s="12">
        <v>400953.19</v>
      </c>
    </row>
    <row r="654" spans="1:5">
      <c r="A654" s="10" t="s">
        <v>322</v>
      </c>
      <c r="B654" s="10" t="s">
        <v>55</v>
      </c>
      <c r="C654" s="10" t="s">
        <v>405</v>
      </c>
      <c r="D654" s="10" t="s">
        <v>11</v>
      </c>
      <c r="E654" s="12">
        <v>531613.64</v>
      </c>
    </row>
    <row r="655" spans="1:5">
      <c r="A655" s="10" t="s">
        <v>322</v>
      </c>
      <c r="B655" s="10" t="s">
        <v>55</v>
      </c>
      <c r="C655" s="10" t="s">
        <v>406</v>
      </c>
      <c r="D655" s="10" t="s">
        <v>9</v>
      </c>
      <c r="E655" s="12">
        <v>41551.97</v>
      </c>
    </row>
    <row r="656" spans="1:5">
      <c r="A656" s="10" t="s">
        <v>322</v>
      </c>
      <c r="B656" s="10" t="s">
        <v>55</v>
      </c>
      <c r="C656" s="10" t="s">
        <v>406</v>
      </c>
      <c r="D656" s="10" t="s">
        <v>11</v>
      </c>
      <c r="E656" s="12">
        <v>41424.61</v>
      </c>
    </row>
    <row r="657" spans="1:5">
      <c r="A657" s="10" t="s">
        <v>322</v>
      </c>
      <c r="B657" s="10" t="s">
        <v>55</v>
      </c>
      <c r="C657" s="10" t="s">
        <v>407</v>
      </c>
      <c r="D657" s="10" t="s">
        <v>9</v>
      </c>
      <c r="E657" s="12">
        <v>246972.51</v>
      </c>
    </row>
    <row r="658" spans="1:5">
      <c r="A658" s="10" t="s">
        <v>322</v>
      </c>
      <c r="B658" s="10" t="s">
        <v>55</v>
      </c>
      <c r="C658" s="10" t="s">
        <v>407</v>
      </c>
      <c r="D658" s="10" t="s">
        <v>11</v>
      </c>
      <c r="E658" s="12">
        <v>90467.50999999999</v>
      </c>
    </row>
    <row r="659" spans="1:5">
      <c r="A659" s="10" t="s">
        <v>322</v>
      </c>
      <c r="B659" s="10" t="s">
        <v>55</v>
      </c>
      <c r="C659" s="10" t="s">
        <v>408</v>
      </c>
      <c r="D659" s="10" t="s">
        <v>9</v>
      </c>
      <c r="E659" s="12">
        <v>64520.31</v>
      </c>
    </row>
    <row r="660" spans="1:5">
      <c r="A660" s="10" t="s">
        <v>322</v>
      </c>
      <c r="B660" s="10" t="s">
        <v>55</v>
      </c>
      <c r="C660" s="10" t="s">
        <v>408</v>
      </c>
      <c r="D660" s="10" t="s">
        <v>11</v>
      </c>
      <c r="E660" s="12">
        <v>43317.33</v>
      </c>
    </row>
    <row r="661" spans="1:5">
      <c r="A661" s="10" t="s">
        <v>322</v>
      </c>
      <c r="B661" s="10" t="s">
        <v>55</v>
      </c>
      <c r="C661" s="10" t="s">
        <v>409</v>
      </c>
      <c r="D661" s="10" t="s">
        <v>9</v>
      </c>
      <c r="E661" s="12">
        <v>107563.33</v>
      </c>
    </row>
    <row r="662" spans="1:5">
      <c r="A662" s="10" t="s">
        <v>322</v>
      </c>
      <c r="B662" s="10" t="s">
        <v>55</v>
      </c>
      <c r="C662" s="10" t="s">
        <v>409</v>
      </c>
      <c r="D662" s="10" t="s">
        <v>11</v>
      </c>
      <c r="E662" s="12">
        <v>134289.03</v>
      </c>
    </row>
    <row r="663" spans="1:5">
      <c r="A663" s="10" t="s">
        <v>322</v>
      </c>
      <c r="B663" s="10" t="s">
        <v>55</v>
      </c>
      <c r="C663" s="10" t="s">
        <v>410</v>
      </c>
      <c r="D663" s="10" t="s">
        <v>9</v>
      </c>
      <c r="E663" s="12">
        <v>40490.36</v>
      </c>
    </row>
    <row r="664" spans="1:5">
      <c r="A664" s="10" t="s">
        <v>322</v>
      </c>
      <c r="B664" s="10" t="s">
        <v>55</v>
      </c>
      <c r="C664" s="10" t="s">
        <v>410</v>
      </c>
      <c r="D664" s="10" t="s">
        <v>11</v>
      </c>
      <c r="E664" s="12">
        <v>2143.88</v>
      </c>
    </row>
    <row r="665" spans="1:5">
      <c r="A665" s="10" t="s">
        <v>322</v>
      </c>
      <c r="B665" s="10" t="s">
        <v>55</v>
      </c>
      <c r="C665" s="10" t="s">
        <v>411</v>
      </c>
      <c r="D665" s="10" t="s">
        <v>9</v>
      </c>
      <c r="E665" s="12">
        <v>632.65</v>
      </c>
    </row>
    <row r="666" spans="1:5">
      <c r="A666" s="10" t="s">
        <v>322</v>
      </c>
      <c r="B666" s="10" t="s">
        <v>55</v>
      </c>
      <c r="C666" s="10" t="s">
        <v>411</v>
      </c>
      <c r="D666" s="10" t="s">
        <v>11</v>
      </c>
      <c r="E666" s="12">
        <v>1537.81</v>
      </c>
    </row>
  </sheetData>
  <autoFilter ref="A1:E66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D6A9E"/>
  </sheetPr>
  <dimension ref="A1:B19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0</v>
      </c>
    </row>
    <row r="3" spans="1:2">
      <c r="A3" s="15" t="s">
        <v>1</v>
      </c>
      <c r="B3" s="10" t="s">
        <v>2</v>
      </c>
    </row>
    <row r="4" spans="1:2">
      <c r="A4" s="15" t="s">
        <v>3</v>
      </c>
      <c r="B4" s="10" t="s">
        <v>4</v>
      </c>
    </row>
    <row r="5" spans="1:2">
      <c r="A5" s="15" t="s">
        <v>5</v>
      </c>
      <c r="B5" s="16">
        <v>46323.59978833128</v>
      </c>
    </row>
    <row r="6" spans="1:2">
      <c r="A6" s="15" t="s">
        <v>6</v>
      </c>
      <c r="B6" s="10" t="s">
        <v>7</v>
      </c>
    </row>
    <row r="7" spans="1:2">
      <c r="A7" s="15" t="s">
        <v>8</v>
      </c>
      <c r="B7" t="s">
        <v>9</v>
      </c>
    </row>
    <row r="8" spans="1:2">
      <c r="A8" s="15" t="s">
        <v>10</v>
      </c>
      <c r="B8" t="s">
        <v>11</v>
      </c>
    </row>
    <row r="9" spans="1:2">
      <c r="A9" s="15" t="s">
        <v>12</v>
      </c>
      <c r="B9" t="s">
        <v>13</v>
      </c>
    </row>
    <row r="10" spans="1:2">
      <c r="A10" s="15" t="s">
        <v>14</v>
      </c>
      <c r="B10" t="s">
        <v>13</v>
      </c>
    </row>
    <row r="11" spans="1:2">
      <c r="A11" s="15" t="s">
        <v>15</v>
      </c>
      <c r="B11" s="12">
        <v>300000</v>
      </c>
    </row>
    <row r="12" spans="1:2">
      <c r="A12" s="15" t="s">
        <v>16</v>
      </c>
      <c r="B12" s="19">
        <v>15</v>
      </c>
    </row>
    <row r="13" spans="1:2">
      <c r="A13" s="15" t="s">
        <v>17</v>
      </c>
      <c r="B13" s="10" t="s">
        <v>18</v>
      </c>
    </row>
    <row r="14" spans="1:2">
      <c r="A14" s="15" t="s">
        <v>19</v>
      </c>
      <c r="B14" s="10" t="s">
        <v>20</v>
      </c>
    </row>
    <row r="15" spans="1:2">
      <c r="A15" s="15" t="s">
        <v>21</v>
      </c>
      <c r="B15" s="10" t="s">
        <v>22</v>
      </c>
    </row>
    <row r="16" spans="1:2">
      <c r="A16" s="15" t="s">
        <v>23</v>
      </c>
      <c r="B16" s="10" t="s">
        <v>24</v>
      </c>
    </row>
    <row r="17" spans="1:2">
      <c r="A17" s="15" t="s">
        <v>25</v>
      </c>
      <c r="B17" s="10" t="s">
        <v>26</v>
      </c>
    </row>
    <row r="19" spans="1:2">
      <c r="A19" s="18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BA6C9"/>
  </sheetPr>
  <dimension ref="A1:G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4.7109375" customWidth="1"/>
    <col min="3" max="3" width="39.7109375" customWidth="1"/>
    <col min="4" max="6" width="16.7109375" customWidth="1"/>
    <col min="7" max="7" width="12.7109375" customWidth="1"/>
  </cols>
  <sheetData>
    <row r="1" spans="1:7">
      <c r="A1" s="11" t="s">
        <v>28</v>
      </c>
      <c r="B1" s="11" t="s">
        <v>29</v>
      </c>
      <c r="C1" s="11" t="s">
        <v>540</v>
      </c>
      <c r="D1" s="11" t="s">
        <v>413</v>
      </c>
      <c r="E1" s="11" t="s">
        <v>414</v>
      </c>
      <c r="F1" s="11" t="s">
        <v>415</v>
      </c>
      <c r="G1" s="11" t="s">
        <v>416</v>
      </c>
    </row>
    <row r="2" spans="1:7">
      <c r="A2" s="10" t="s">
        <v>54</v>
      </c>
      <c r="B2" s="10" t="s">
        <v>55</v>
      </c>
      <c r="C2" s="10" t="s">
        <v>63</v>
      </c>
      <c r="D2" s="12">
        <v>440441.66</v>
      </c>
      <c r="E2" s="12">
        <v>-2367.7</v>
      </c>
      <c r="F2" s="12">
        <v>-442809.36</v>
      </c>
      <c r="G2" s="13">
        <v>-1.005375740342092</v>
      </c>
    </row>
    <row r="3" spans="1:7">
      <c r="A3" s="10" t="s">
        <v>54</v>
      </c>
      <c r="B3" s="10" t="s">
        <v>55</v>
      </c>
      <c r="C3" s="10" t="s">
        <v>64</v>
      </c>
      <c r="D3" s="12">
        <v>121381.14</v>
      </c>
      <c r="E3" s="12">
        <v>212374.16</v>
      </c>
      <c r="F3" s="12">
        <v>90993.02</v>
      </c>
      <c r="G3" s="13">
        <v>0.7496471033308799</v>
      </c>
    </row>
    <row r="4" spans="1:7">
      <c r="A4" s="10" t="s">
        <v>70</v>
      </c>
      <c r="B4" s="10" t="s">
        <v>55</v>
      </c>
      <c r="C4" s="10" t="s">
        <v>77</v>
      </c>
      <c r="D4" s="12">
        <v>17470.3</v>
      </c>
      <c r="E4" s="12">
        <v>21581.67</v>
      </c>
      <c r="F4" s="12">
        <v>4111.37</v>
      </c>
      <c r="G4" s="13">
        <v>0.2353348253893751</v>
      </c>
    </row>
    <row r="5" spans="1:7">
      <c r="A5" s="10" t="s">
        <v>123</v>
      </c>
      <c r="B5" s="10" t="s">
        <v>67</v>
      </c>
      <c r="C5" s="10" t="s">
        <v>126</v>
      </c>
      <c r="D5" s="12">
        <v>67153.39</v>
      </c>
      <c r="E5" s="12">
        <v>89043.31</v>
      </c>
      <c r="F5" s="12">
        <v>21889.92</v>
      </c>
      <c r="G5" s="13">
        <v>0.325968949594354</v>
      </c>
    </row>
    <row r="6" spans="1:7">
      <c r="A6" s="10" t="s">
        <v>123</v>
      </c>
      <c r="B6" s="10" t="s">
        <v>67</v>
      </c>
      <c r="C6" s="10" t="s">
        <v>128</v>
      </c>
      <c r="D6" s="12">
        <v>1128961.96</v>
      </c>
      <c r="E6" s="12">
        <v>704639.62</v>
      </c>
      <c r="F6" s="12">
        <v>-424322.34</v>
      </c>
      <c r="G6" s="13">
        <v>-0.3758517603197188</v>
      </c>
    </row>
    <row r="7" spans="1:7">
      <c r="A7" s="10" t="s">
        <v>104</v>
      </c>
      <c r="B7" s="10" t="s">
        <v>67</v>
      </c>
      <c r="C7" s="10" t="s">
        <v>109</v>
      </c>
      <c r="D7" s="12">
        <v>143616.32</v>
      </c>
      <c r="E7" s="12">
        <v>43546.34</v>
      </c>
      <c r="F7" s="12">
        <v>-100069.98</v>
      </c>
      <c r="G7" s="13">
        <v>-0.6967869668293966</v>
      </c>
    </row>
    <row r="8" spans="1:7">
      <c r="A8" s="10" t="s">
        <v>104</v>
      </c>
      <c r="B8" s="10" t="s">
        <v>67</v>
      </c>
      <c r="C8" s="10" t="s">
        <v>110</v>
      </c>
      <c r="D8" s="12">
        <v>117591.99</v>
      </c>
      <c r="E8" s="12">
        <v>40958.7</v>
      </c>
      <c r="F8" s="12">
        <v>-76633.28999999999</v>
      </c>
      <c r="G8" s="13">
        <v>-0.6516880103823398</v>
      </c>
    </row>
    <row r="9" spans="1:7">
      <c r="A9" s="10" t="s">
        <v>198</v>
      </c>
      <c r="B9" s="10" t="s">
        <v>34</v>
      </c>
      <c r="C9" s="10" t="s">
        <v>200</v>
      </c>
      <c r="D9" s="12">
        <v>10786.46</v>
      </c>
      <c r="E9" s="12">
        <v>13663.64</v>
      </c>
      <c r="F9" s="12">
        <v>2877.18</v>
      </c>
      <c r="G9" s="13">
        <v>0.266739968441917</v>
      </c>
    </row>
    <row r="10" spans="1:7">
      <c r="A10" s="10" t="s">
        <v>206</v>
      </c>
      <c r="B10" s="10" t="s">
        <v>67</v>
      </c>
      <c r="C10" s="10" t="s">
        <v>207</v>
      </c>
      <c r="D10" s="12">
        <v>178532.95</v>
      </c>
      <c r="E10" s="12">
        <v>42450.5</v>
      </c>
      <c r="F10" s="12">
        <v>-136082.45</v>
      </c>
      <c r="G10" s="13">
        <v>-0.7622259644508199</v>
      </c>
    </row>
    <row r="11" spans="1:7">
      <c r="A11" s="10" t="s">
        <v>213</v>
      </c>
      <c r="B11" s="10" t="s">
        <v>67</v>
      </c>
      <c r="C11" s="10" t="s">
        <v>221</v>
      </c>
      <c r="D11" s="12">
        <v>105077.7</v>
      </c>
      <c r="E11" s="12">
        <v>46903.31</v>
      </c>
      <c r="F11" s="12">
        <v>-58174.39</v>
      </c>
      <c r="G11" s="13">
        <v>-0.5536321217537118</v>
      </c>
    </row>
    <row r="12" spans="1:7">
      <c r="A12" s="10" t="s">
        <v>256</v>
      </c>
      <c r="B12" s="10" t="s">
        <v>67</v>
      </c>
      <c r="C12" s="10" t="s">
        <v>259</v>
      </c>
      <c r="D12" s="12">
        <v>99782.05</v>
      </c>
      <c r="E12" s="12">
        <v>38034.41</v>
      </c>
      <c r="F12" s="12">
        <v>-61747.64</v>
      </c>
      <c r="G12" s="13">
        <v>-0.6188251293694607</v>
      </c>
    </row>
    <row r="13" spans="1:7">
      <c r="A13" s="10" t="s">
        <v>261</v>
      </c>
      <c r="B13" s="10" t="s">
        <v>67</v>
      </c>
      <c r="C13" s="10" t="s">
        <v>265</v>
      </c>
      <c r="D13" s="12">
        <v>2220.71</v>
      </c>
      <c r="E13" s="12">
        <v>5575.21</v>
      </c>
      <c r="F13" s="12">
        <v>3354.5</v>
      </c>
      <c r="G13" s="13">
        <v>1.510552931269729</v>
      </c>
    </row>
    <row r="14" spans="1:7">
      <c r="A14" s="10" t="s">
        <v>284</v>
      </c>
      <c r="B14" s="10" t="s">
        <v>67</v>
      </c>
      <c r="C14" s="10" t="s">
        <v>286</v>
      </c>
      <c r="D14" s="12">
        <v>165927.11</v>
      </c>
      <c r="E14" s="12">
        <v>106275.3</v>
      </c>
      <c r="F14" s="12">
        <v>-59651.81</v>
      </c>
      <c r="G14" s="13">
        <v>-0.359506110845901</v>
      </c>
    </row>
    <row r="15" spans="1:7">
      <c r="A15" s="10" t="s">
        <v>266</v>
      </c>
      <c r="B15" s="10" t="s">
        <v>34</v>
      </c>
      <c r="C15" s="10" t="s">
        <v>269</v>
      </c>
      <c r="D15" s="12">
        <v>251991.23</v>
      </c>
      <c r="E15" s="12">
        <v>433473.75</v>
      </c>
      <c r="F15" s="12">
        <v>181482.52</v>
      </c>
      <c r="G15" s="13">
        <v>0.7201937940459276</v>
      </c>
    </row>
    <row r="16" spans="1:7">
      <c r="A16" s="10" t="s">
        <v>322</v>
      </c>
      <c r="B16" s="10" t="s">
        <v>55</v>
      </c>
      <c r="C16" s="10" t="s">
        <v>377</v>
      </c>
      <c r="D16" s="12">
        <v>419451.4</v>
      </c>
      <c r="E16" s="12">
        <v>405343.57</v>
      </c>
      <c r="F16" s="12">
        <v>-14107.83</v>
      </c>
      <c r="G16" s="13">
        <v>-0.0336340038440687</v>
      </c>
    </row>
    <row r="17" spans="1:7">
      <c r="A17" s="10" t="s">
        <v>322</v>
      </c>
      <c r="B17" s="10" t="s">
        <v>55</v>
      </c>
      <c r="C17" s="10" t="s">
        <v>380</v>
      </c>
      <c r="D17" s="12">
        <v>91885</v>
      </c>
      <c r="E17" s="12">
        <v>49136.16</v>
      </c>
      <c r="F17" s="12">
        <v>-42748.84</v>
      </c>
      <c r="G17" s="13">
        <v>-0.4652428579202264</v>
      </c>
    </row>
    <row r="18" spans="1:7">
      <c r="A18" s="10" t="s">
        <v>322</v>
      </c>
      <c r="B18" s="10" t="s">
        <v>55</v>
      </c>
      <c r="C18" s="10" t="s">
        <v>333</v>
      </c>
      <c r="D18" s="12">
        <v>0</v>
      </c>
      <c r="E18" s="12">
        <v>-140.07</v>
      </c>
      <c r="F18" s="12">
        <v>-140.07</v>
      </c>
      <c r="G18" s="13"/>
    </row>
    <row r="19" spans="1:7">
      <c r="A19" s="10" t="s">
        <v>322</v>
      </c>
      <c r="B19" s="10" t="s">
        <v>55</v>
      </c>
      <c r="C19" s="10" t="s">
        <v>404</v>
      </c>
      <c r="D19" s="12">
        <v>6329.2</v>
      </c>
      <c r="E19" s="12">
        <v>16726.61</v>
      </c>
      <c r="F19" s="12">
        <v>10397.41</v>
      </c>
      <c r="G19" s="13">
        <v>1.642768438349238</v>
      </c>
    </row>
    <row r="20" spans="1:7">
      <c r="A20" s="10" t="s">
        <v>322</v>
      </c>
      <c r="B20" s="10" t="s">
        <v>55</v>
      </c>
      <c r="C20" s="10" t="s">
        <v>407</v>
      </c>
      <c r="D20" s="12">
        <v>246972.51</v>
      </c>
      <c r="E20" s="12">
        <v>90467.50999999999</v>
      </c>
      <c r="F20" s="12">
        <v>-156505</v>
      </c>
      <c r="G20" s="13">
        <v>-0.6336940091024705</v>
      </c>
    </row>
    <row r="21" spans="1:7">
      <c r="A21" s="10" t="s">
        <v>322</v>
      </c>
      <c r="B21" s="10" t="s">
        <v>55</v>
      </c>
      <c r="C21" s="10" t="s">
        <v>370</v>
      </c>
      <c r="D21" s="12">
        <v>774045.08</v>
      </c>
      <c r="E21" s="12">
        <v>695924.9300000001</v>
      </c>
      <c r="F21" s="12">
        <v>-78120.14999999999</v>
      </c>
      <c r="G21" s="13">
        <v>-0.1009245482188195</v>
      </c>
    </row>
    <row r="22" spans="1:7">
      <c r="A22" s="10" t="s">
        <v>322</v>
      </c>
      <c r="B22" s="10" t="s">
        <v>55</v>
      </c>
      <c r="C22" s="10" t="s">
        <v>390</v>
      </c>
      <c r="D22" s="12">
        <v>285390.86</v>
      </c>
      <c r="E22" s="12">
        <v>-88890.38</v>
      </c>
      <c r="F22" s="12">
        <v>-374281.24</v>
      </c>
      <c r="G22" s="13">
        <v>-1.311468909691081</v>
      </c>
    </row>
    <row r="23" spans="1:7">
      <c r="A23" s="10" t="s">
        <v>322</v>
      </c>
      <c r="B23" s="10" t="s">
        <v>55</v>
      </c>
      <c r="C23" s="10" t="s">
        <v>384</v>
      </c>
      <c r="D23" s="12">
        <v>176444.83</v>
      </c>
      <c r="E23" s="12">
        <v>-104711.23</v>
      </c>
      <c r="F23" s="12">
        <v>-281156.06</v>
      </c>
      <c r="G23" s="13">
        <v>-1.593450258644586</v>
      </c>
    </row>
    <row r="24" spans="1:7">
      <c r="A24" s="10" t="s">
        <v>322</v>
      </c>
      <c r="B24" s="10" t="s">
        <v>55</v>
      </c>
      <c r="C24" s="10" t="s">
        <v>391</v>
      </c>
      <c r="D24" s="12">
        <v>167358.02</v>
      </c>
      <c r="E24" s="12">
        <v>-103477.24</v>
      </c>
      <c r="F24" s="12">
        <v>-270835.26</v>
      </c>
      <c r="G24" s="13">
        <v>-1.618298662950243</v>
      </c>
    </row>
    <row r="25" spans="1:7">
      <c r="A25" s="10" t="s">
        <v>202</v>
      </c>
      <c r="B25" s="10" t="s">
        <v>34</v>
      </c>
      <c r="C25" s="10" t="s">
        <v>204</v>
      </c>
      <c r="D25" s="12">
        <v>6315.62</v>
      </c>
      <c r="E25" s="12">
        <v>980.8099999999999</v>
      </c>
      <c r="F25" s="12">
        <v>-5334.81</v>
      </c>
      <c r="G25" s="13">
        <v>-0.8447009161412499</v>
      </c>
    </row>
    <row r="26" spans="1:7">
      <c r="A26" s="10" t="s">
        <v>322</v>
      </c>
      <c r="B26" s="10" t="s">
        <v>55</v>
      </c>
      <c r="C26" s="10" t="s">
        <v>406</v>
      </c>
      <c r="D26" s="12">
        <v>41551.97</v>
      </c>
      <c r="E26" s="12">
        <v>41424.61</v>
      </c>
      <c r="F26" s="12">
        <v>-127.36</v>
      </c>
      <c r="G26" s="13">
        <v>-0.003065077299584111</v>
      </c>
    </row>
    <row r="27" spans="1:7">
      <c r="A27" s="10" t="s">
        <v>300</v>
      </c>
      <c r="B27" s="10" t="s">
        <v>67</v>
      </c>
      <c r="C27" s="10" t="s">
        <v>301</v>
      </c>
      <c r="D27" s="12">
        <v>2922.88</v>
      </c>
      <c r="E27" s="12">
        <v>2317.7</v>
      </c>
      <c r="F27" s="12">
        <v>-605.1799999999999</v>
      </c>
      <c r="G27" s="13">
        <v>-0.2070492117363696</v>
      </c>
    </row>
    <row r="28" spans="1:7">
      <c r="A28" s="10" t="s">
        <v>300</v>
      </c>
      <c r="B28" s="10" t="s">
        <v>67</v>
      </c>
      <c r="C28" s="10" t="s">
        <v>302</v>
      </c>
      <c r="D28" s="12">
        <v>73223.00999999999</v>
      </c>
      <c r="E28" s="12">
        <v>86567.60000000001</v>
      </c>
      <c r="F28" s="12">
        <v>13344.59</v>
      </c>
      <c r="G28" s="13">
        <v>0.1822458541379274</v>
      </c>
    </row>
    <row r="29" spans="1:7">
      <c r="A29" s="10" t="s">
        <v>300</v>
      </c>
      <c r="B29" s="10" t="s">
        <v>67</v>
      </c>
      <c r="C29" s="10" t="s">
        <v>304</v>
      </c>
      <c r="D29" s="12">
        <v>58549.42</v>
      </c>
      <c r="E29" s="12">
        <v>23971.62</v>
      </c>
      <c r="F29" s="12">
        <v>-34577.8</v>
      </c>
      <c r="G29" s="13">
        <v>-0.5905745949319395</v>
      </c>
    </row>
    <row r="30" spans="1:7">
      <c r="A30" s="10" t="s">
        <v>300</v>
      </c>
      <c r="B30" s="10" t="s">
        <v>67</v>
      </c>
      <c r="C30" s="10" t="s">
        <v>303</v>
      </c>
      <c r="D30" s="12">
        <v>207.3</v>
      </c>
      <c r="E30" s="12">
        <v>207.3</v>
      </c>
      <c r="F30" s="12">
        <v>0</v>
      </c>
      <c r="G30" s="13">
        <v>0</v>
      </c>
    </row>
    <row r="31" spans="1:7">
      <c r="A31" s="10" t="s">
        <v>33</v>
      </c>
      <c r="B31" s="10" t="s">
        <v>34</v>
      </c>
      <c r="C31" s="10" t="s">
        <v>51</v>
      </c>
      <c r="D31" s="12">
        <v>121183.16</v>
      </c>
      <c r="E31" s="12">
        <v>145708.96</v>
      </c>
      <c r="F31" s="12">
        <v>24525.8</v>
      </c>
      <c r="G31" s="13">
        <v>0.2023862061362321</v>
      </c>
    </row>
    <row r="32" spans="1:7">
      <c r="A32" s="10" t="s">
        <v>33</v>
      </c>
      <c r="B32" s="10" t="s">
        <v>34</v>
      </c>
      <c r="C32" s="10" t="s">
        <v>52</v>
      </c>
      <c r="D32" s="12">
        <v>83522.38</v>
      </c>
      <c r="E32" s="12">
        <v>148118.41</v>
      </c>
      <c r="F32" s="12">
        <v>64596.03</v>
      </c>
      <c r="G32" s="13">
        <v>0.7733978605494718</v>
      </c>
    </row>
    <row r="33" spans="1:7">
      <c r="A33" s="10" t="s">
        <v>33</v>
      </c>
      <c r="B33" s="10" t="s">
        <v>34</v>
      </c>
      <c r="C33" s="10" t="s">
        <v>53</v>
      </c>
      <c r="D33" s="12">
        <v>5158.53</v>
      </c>
      <c r="E33" s="12">
        <v>13285.11</v>
      </c>
      <c r="F33" s="12">
        <v>8126.58</v>
      </c>
      <c r="G33" s="13">
        <v>1.575367401178243</v>
      </c>
    </row>
    <row r="34" spans="1:7">
      <c r="A34" s="10" t="s">
        <v>33</v>
      </c>
      <c r="B34" s="10" t="s">
        <v>34</v>
      </c>
      <c r="C34" s="10" t="s">
        <v>50</v>
      </c>
      <c r="D34" s="12">
        <v>121342.16</v>
      </c>
      <c r="E34" s="12">
        <v>198778.39</v>
      </c>
      <c r="F34" s="12">
        <v>77436.23</v>
      </c>
      <c r="G34" s="13">
        <v>0.6381642621163164</v>
      </c>
    </row>
    <row r="35" spans="1:7">
      <c r="A35" s="10" t="s">
        <v>33</v>
      </c>
      <c r="B35" s="10" t="s">
        <v>34</v>
      </c>
      <c r="C35" s="10" t="s">
        <v>49</v>
      </c>
      <c r="D35" s="12">
        <v>30644.1</v>
      </c>
      <c r="E35" s="12">
        <v>119141.26</v>
      </c>
      <c r="F35" s="12">
        <v>88497.16</v>
      </c>
      <c r="G35" s="13">
        <v>2.887902075766624</v>
      </c>
    </row>
    <row r="36" spans="1:7">
      <c r="A36" s="10" t="s">
        <v>33</v>
      </c>
      <c r="B36" s="10" t="s">
        <v>34</v>
      </c>
      <c r="C36" s="10" t="s">
        <v>47</v>
      </c>
      <c r="D36" s="12">
        <v>25522.09</v>
      </c>
      <c r="E36" s="12">
        <v>69527.69</v>
      </c>
      <c r="F36" s="12">
        <v>44005.6</v>
      </c>
      <c r="G36" s="13">
        <v>1.724216159413277</v>
      </c>
    </row>
    <row r="37" spans="1:7">
      <c r="A37" s="10" t="s">
        <v>33</v>
      </c>
      <c r="B37" s="10" t="s">
        <v>34</v>
      </c>
      <c r="C37" s="10" t="s">
        <v>46</v>
      </c>
      <c r="D37" s="12">
        <v>55005.04</v>
      </c>
      <c r="E37" s="12">
        <v>111017.96</v>
      </c>
      <c r="F37" s="12">
        <v>56012.92</v>
      </c>
      <c r="G37" s="13">
        <v>1.018323411818262</v>
      </c>
    </row>
    <row r="38" spans="1:7">
      <c r="A38" s="10" t="s">
        <v>33</v>
      </c>
      <c r="B38" s="10" t="s">
        <v>34</v>
      </c>
      <c r="C38" s="10" t="s">
        <v>48</v>
      </c>
      <c r="D38" s="12">
        <v>31722.44</v>
      </c>
      <c r="E38" s="12">
        <v>155345.57</v>
      </c>
      <c r="F38" s="12">
        <v>123623.13</v>
      </c>
      <c r="G38" s="13">
        <v>3.897024629883451</v>
      </c>
    </row>
    <row r="39" spans="1:7">
      <c r="A39" s="10" t="s">
        <v>33</v>
      </c>
      <c r="B39" s="10" t="s">
        <v>34</v>
      </c>
      <c r="C39" s="10" t="s">
        <v>39</v>
      </c>
      <c r="D39" s="12">
        <v>22980.71</v>
      </c>
      <c r="E39" s="12">
        <v>53974.01</v>
      </c>
      <c r="F39" s="12">
        <v>30993.3</v>
      </c>
      <c r="G39" s="13">
        <v>1.348665902837641</v>
      </c>
    </row>
    <row r="40" spans="1:7">
      <c r="A40" s="10" t="s">
        <v>33</v>
      </c>
      <c r="B40" s="10" t="s">
        <v>34</v>
      </c>
      <c r="C40" s="10" t="s">
        <v>38</v>
      </c>
      <c r="D40" s="12">
        <v>46448.88</v>
      </c>
      <c r="E40" s="12">
        <v>78530.53</v>
      </c>
      <c r="F40" s="12">
        <v>32081.65</v>
      </c>
      <c r="G40" s="13">
        <v>0.6906872673786753</v>
      </c>
    </row>
    <row r="41" spans="1:7">
      <c r="A41" s="10" t="s">
        <v>33</v>
      </c>
      <c r="B41" s="10" t="s">
        <v>34</v>
      </c>
      <c r="C41" s="10" t="s">
        <v>44</v>
      </c>
      <c r="D41" s="12">
        <v>8984.59</v>
      </c>
      <c r="E41" s="12">
        <v>77445.55</v>
      </c>
      <c r="F41" s="12">
        <v>68460.96000000001</v>
      </c>
      <c r="G41" s="13">
        <v>7.619820158738462</v>
      </c>
    </row>
    <row r="42" spans="1:7">
      <c r="A42" s="10" t="s">
        <v>33</v>
      </c>
      <c r="B42" s="10" t="s">
        <v>34</v>
      </c>
      <c r="C42" s="10" t="s">
        <v>35</v>
      </c>
      <c r="D42" s="12">
        <v>17203.27</v>
      </c>
      <c r="E42" s="12">
        <v>2712.05</v>
      </c>
      <c r="F42" s="12">
        <v>-14491.22</v>
      </c>
      <c r="G42" s="13">
        <v>-0.8423526457470004</v>
      </c>
    </row>
    <row r="43" spans="1:7">
      <c r="A43" s="10" t="s">
        <v>33</v>
      </c>
      <c r="B43" s="10" t="s">
        <v>34</v>
      </c>
      <c r="C43" s="10" t="s">
        <v>37</v>
      </c>
      <c r="D43" s="12">
        <v>46074.06</v>
      </c>
      <c r="E43" s="12">
        <v>13900.67</v>
      </c>
      <c r="F43" s="12">
        <v>-32173.39</v>
      </c>
      <c r="G43" s="13">
        <v>-0.6982972631454661</v>
      </c>
    </row>
    <row r="44" spans="1:7">
      <c r="A44" s="10" t="s">
        <v>33</v>
      </c>
      <c r="B44" s="10" t="s">
        <v>34</v>
      </c>
      <c r="C44" s="10" t="s">
        <v>43</v>
      </c>
      <c r="D44" s="12">
        <v>30553.16</v>
      </c>
      <c r="E44" s="12">
        <v>45610.03</v>
      </c>
      <c r="F44" s="12">
        <v>15056.87</v>
      </c>
      <c r="G44" s="13">
        <v>0.4928089271289778</v>
      </c>
    </row>
    <row r="45" spans="1:7">
      <c r="A45" s="10" t="s">
        <v>33</v>
      </c>
      <c r="B45" s="10" t="s">
        <v>34</v>
      </c>
      <c r="C45" s="10" t="s">
        <v>36</v>
      </c>
      <c r="D45" s="12">
        <v>10829.63</v>
      </c>
      <c r="E45" s="12">
        <v>7752</v>
      </c>
      <c r="F45" s="12">
        <v>-3077.63</v>
      </c>
      <c r="G45" s="13">
        <v>-0.2841860709922684</v>
      </c>
    </row>
    <row r="46" spans="1:7">
      <c r="A46" s="10" t="s">
        <v>33</v>
      </c>
      <c r="B46" s="10" t="s">
        <v>34</v>
      </c>
      <c r="C46" s="10" t="s">
        <v>42</v>
      </c>
      <c r="D46" s="12">
        <v>8968.07</v>
      </c>
      <c r="E46" s="12">
        <v>28928.82</v>
      </c>
      <c r="F46" s="12">
        <v>19960.75</v>
      </c>
      <c r="G46" s="13">
        <v>2.225757604479002</v>
      </c>
    </row>
    <row r="47" spans="1:7">
      <c r="A47" s="10" t="s">
        <v>33</v>
      </c>
      <c r="B47" s="10" t="s">
        <v>34</v>
      </c>
      <c r="C47" s="10" t="s">
        <v>40</v>
      </c>
      <c r="D47" s="12">
        <v>41692.75</v>
      </c>
      <c r="E47" s="12">
        <v>142908.55</v>
      </c>
      <c r="F47" s="12">
        <v>101215.8</v>
      </c>
      <c r="G47" s="13">
        <v>2.427659485162288</v>
      </c>
    </row>
    <row r="48" spans="1:7">
      <c r="A48" s="10" t="s">
        <v>33</v>
      </c>
      <c r="B48" s="10" t="s">
        <v>34</v>
      </c>
      <c r="C48" s="10" t="s">
        <v>41</v>
      </c>
      <c r="D48" s="12">
        <v>-39730.89</v>
      </c>
      <c r="E48" s="12">
        <v>100110.3</v>
      </c>
      <c r="F48" s="12">
        <v>139841.19</v>
      </c>
      <c r="G48" s="13">
        <v>3.519709475423279</v>
      </c>
    </row>
    <row r="49" spans="1:7">
      <c r="A49" s="10" t="s">
        <v>54</v>
      </c>
      <c r="B49" s="10" t="s">
        <v>55</v>
      </c>
      <c r="C49" s="10" t="s">
        <v>58</v>
      </c>
      <c r="D49" s="12">
        <v>231377.52</v>
      </c>
      <c r="E49" s="12">
        <v>219442.13</v>
      </c>
      <c r="F49" s="12">
        <v>-11935.39</v>
      </c>
      <c r="G49" s="13">
        <v>-0.05158405189925106</v>
      </c>
    </row>
    <row r="50" spans="1:7">
      <c r="A50" s="10" t="s">
        <v>54</v>
      </c>
      <c r="B50" s="10" t="s">
        <v>55</v>
      </c>
      <c r="C50" s="10" t="s">
        <v>61</v>
      </c>
      <c r="D50" s="12">
        <v>146305.71</v>
      </c>
      <c r="E50" s="12">
        <v>138522.68</v>
      </c>
      <c r="F50" s="12">
        <v>-7783.03</v>
      </c>
      <c r="G50" s="13">
        <v>-0.05319703516698016</v>
      </c>
    </row>
    <row r="51" spans="1:7">
      <c r="A51" s="10" t="s">
        <v>54</v>
      </c>
      <c r="B51" s="10" t="s">
        <v>55</v>
      </c>
      <c r="C51" s="10" t="s">
        <v>59</v>
      </c>
      <c r="D51" s="12">
        <v>63969.39</v>
      </c>
      <c r="E51" s="12">
        <v>32215.88</v>
      </c>
      <c r="F51" s="12">
        <v>-31753.51</v>
      </c>
      <c r="G51" s="13">
        <v>-0.4963860058693698</v>
      </c>
    </row>
    <row r="52" spans="1:7">
      <c r="A52" s="10" t="s">
        <v>54</v>
      </c>
      <c r="B52" s="10" t="s">
        <v>55</v>
      </c>
      <c r="C52" s="10" t="s">
        <v>62</v>
      </c>
      <c r="D52" s="12">
        <v>43073.73</v>
      </c>
      <c r="E52" s="12">
        <v>50794.49</v>
      </c>
      <c r="F52" s="12">
        <v>7720.76</v>
      </c>
      <c r="G52" s="13">
        <v>0.1792452151229996</v>
      </c>
    </row>
    <row r="53" spans="1:7">
      <c r="A53" s="10" t="s">
        <v>54</v>
      </c>
      <c r="B53" s="10" t="s">
        <v>55</v>
      </c>
      <c r="C53" s="10" t="s">
        <v>65</v>
      </c>
      <c r="D53" s="12">
        <v>71851.74000000001</v>
      </c>
      <c r="E53" s="12">
        <v>57098.03</v>
      </c>
      <c r="F53" s="12">
        <v>-14753.71</v>
      </c>
      <c r="G53" s="13">
        <v>-0.2053354588211782</v>
      </c>
    </row>
    <row r="54" spans="1:7">
      <c r="A54" s="10" t="s">
        <v>54</v>
      </c>
      <c r="B54" s="10" t="s">
        <v>55</v>
      </c>
      <c r="C54" s="10" t="s">
        <v>57</v>
      </c>
      <c r="D54" s="12">
        <v>34756.01</v>
      </c>
      <c r="E54" s="12">
        <v>11254.5</v>
      </c>
      <c r="F54" s="12">
        <v>-23501.51</v>
      </c>
      <c r="G54" s="13">
        <v>-0.6761855000041719</v>
      </c>
    </row>
    <row r="55" spans="1:7">
      <c r="A55" s="10" t="s">
        <v>54</v>
      </c>
      <c r="B55" s="10" t="s">
        <v>55</v>
      </c>
      <c r="C55" s="10" t="s">
        <v>60</v>
      </c>
      <c r="D55" s="12">
        <v>3865.71</v>
      </c>
      <c r="E55" s="12">
        <v>2145.58</v>
      </c>
      <c r="F55" s="12">
        <v>-1720.13</v>
      </c>
      <c r="G55" s="13">
        <v>-0.444971298933443</v>
      </c>
    </row>
    <row r="56" spans="1:7">
      <c r="A56" s="10" t="s">
        <v>70</v>
      </c>
      <c r="B56" s="10" t="s">
        <v>55</v>
      </c>
      <c r="C56" s="10" t="s">
        <v>73</v>
      </c>
      <c r="D56" s="12">
        <v>203452.14</v>
      </c>
      <c r="E56" s="12">
        <v>62813.07</v>
      </c>
      <c r="F56" s="12">
        <v>-140639.07</v>
      </c>
      <c r="G56" s="13">
        <v>-0.6912636554228428</v>
      </c>
    </row>
    <row r="57" spans="1:7">
      <c r="A57" s="10" t="s">
        <v>70</v>
      </c>
      <c r="B57" s="10" t="s">
        <v>55</v>
      </c>
      <c r="C57" s="10" t="s">
        <v>82</v>
      </c>
      <c r="D57" s="12">
        <v>14365.38</v>
      </c>
      <c r="E57" s="12">
        <v>59138.48</v>
      </c>
      <c r="F57" s="12">
        <v>44773.1</v>
      </c>
      <c r="G57" s="13">
        <v>3.116736208857684</v>
      </c>
    </row>
    <row r="58" spans="1:7">
      <c r="A58" s="10" t="s">
        <v>70</v>
      </c>
      <c r="B58" s="10" t="s">
        <v>55</v>
      </c>
      <c r="C58" s="10" t="s">
        <v>81</v>
      </c>
      <c r="D58" s="12">
        <v>48730.18</v>
      </c>
      <c r="E58" s="12">
        <v>34136.04</v>
      </c>
      <c r="F58" s="12">
        <v>-14594.14</v>
      </c>
      <c r="G58" s="13">
        <v>-0.2994887357280437</v>
      </c>
    </row>
    <row r="59" spans="1:7">
      <c r="A59" s="10" t="s">
        <v>70</v>
      </c>
      <c r="B59" s="10" t="s">
        <v>55</v>
      </c>
      <c r="C59" s="10" t="s">
        <v>85</v>
      </c>
      <c r="D59" s="12">
        <v>6573.28</v>
      </c>
      <c r="E59" s="12">
        <v>42887.34</v>
      </c>
      <c r="F59" s="12">
        <v>36314.06</v>
      </c>
      <c r="G59" s="13">
        <v>5.524496141956527</v>
      </c>
    </row>
    <row r="60" spans="1:7">
      <c r="A60" s="10" t="s">
        <v>70</v>
      </c>
      <c r="B60" s="10" t="s">
        <v>55</v>
      </c>
      <c r="C60" s="10" t="s">
        <v>78</v>
      </c>
      <c r="D60" s="12">
        <v>28333.97</v>
      </c>
      <c r="E60" s="12">
        <v>53599</v>
      </c>
      <c r="F60" s="12">
        <v>25265.03</v>
      </c>
      <c r="G60" s="13">
        <v>0.891686904447206</v>
      </c>
    </row>
    <row r="61" spans="1:7">
      <c r="A61" s="10" t="s">
        <v>70</v>
      </c>
      <c r="B61" s="10" t="s">
        <v>55</v>
      </c>
      <c r="C61" s="10" t="s">
        <v>79</v>
      </c>
      <c r="D61" s="12">
        <v>12383.7</v>
      </c>
      <c r="E61" s="12">
        <v>8128.44</v>
      </c>
      <c r="F61" s="12">
        <v>-4255.26</v>
      </c>
      <c r="G61" s="13">
        <v>-0.3436178201991327</v>
      </c>
    </row>
    <row r="62" spans="1:7">
      <c r="A62" s="10" t="s">
        <v>70</v>
      </c>
      <c r="B62" s="10" t="s">
        <v>55</v>
      </c>
      <c r="C62" s="10" t="s">
        <v>75</v>
      </c>
      <c r="D62" s="12">
        <v>223468.25</v>
      </c>
      <c r="E62" s="12">
        <v>43978.69</v>
      </c>
      <c r="F62" s="12">
        <v>-179489.56</v>
      </c>
      <c r="G62" s="13">
        <v>-0.8031993806726458</v>
      </c>
    </row>
    <row r="63" spans="1:7">
      <c r="A63" s="10" t="s">
        <v>70</v>
      </c>
      <c r="B63" s="10" t="s">
        <v>55</v>
      </c>
      <c r="C63" s="10" t="s">
        <v>84</v>
      </c>
      <c r="D63" s="12">
        <v>19752.85</v>
      </c>
      <c r="E63" s="12">
        <v>53467.63</v>
      </c>
      <c r="F63" s="12">
        <v>33714.78</v>
      </c>
      <c r="G63" s="13">
        <v>1.70683116613552</v>
      </c>
    </row>
    <row r="64" spans="1:7">
      <c r="A64" s="10" t="s">
        <v>70</v>
      </c>
      <c r="B64" s="10" t="s">
        <v>55</v>
      </c>
      <c r="C64" s="10" t="s">
        <v>76</v>
      </c>
      <c r="D64" s="12">
        <v>94475.27</v>
      </c>
      <c r="E64" s="12">
        <v>44196.69</v>
      </c>
      <c r="F64" s="12">
        <v>-50278.58</v>
      </c>
      <c r="G64" s="13">
        <v>-0.5321877354782898</v>
      </c>
    </row>
    <row r="65" spans="1:7">
      <c r="A65" s="10" t="s">
        <v>70</v>
      </c>
      <c r="B65" s="10" t="s">
        <v>55</v>
      </c>
      <c r="C65" s="10" t="s">
        <v>72</v>
      </c>
      <c r="D65" s="12">
        <v>41368.82</v>
      </c>
      <c r="E65" s="12">
        <v>10983.43</v>
      </c>
      <c r="F65" s="12">
        <v>-30385.39</v>
      </c>
      <c r="G65" s="13">
        <v>-0.7344997996075305</v>
      </c>
    </row>
    <row r="66" spans="1:7">
      <c r="A66" s="10" t="s">
        <v>70</v>
      </c>
      <c r="B66" s="10" t="s">
        <v>55</v>
      </c>
      <c r="C66" s="10" t="s">
        <v>87</v>
      </c>
      <c r="D66" s="12">
        <v>34243.42</v>
      </c>
      <c r="E66" s="12">
        <v>21427.39</v>
      </c>
      <c r="F66" s="12">
        <v>-12816.03</v>
      </c>
      <c r="G66" s="13">
        <v>-0.3742625590551411</v>
      </c>
    </row>
    <row r="67" spans="1:7">
      <c r="A67" s="10" t="s">
        <v>70</v>
      </c>
      <c r="B67" s="10" t="s">
        <v>55</v>
      </c>
      <c r="C67" s="10" t="s">
        <v>74</v>
      </c>
      <c r="D67" s="12">
        <v>55014.73</v>
      </c>
      <c r="E67" s="12">
        <v>22881.64</v>
      </c>
      <c r="F67" s="12">
        <v>-32133.09</v>
      </c>
      <c r="G67" s="13">
        <v>-0.5840815723352637</v>
      </c>
    </row>
    <row r="68" spans="1:7">
      <c r="A68" s="10" t="s">
        <v>70</v>
      </c>
      <c r="B68" s="10" t="s">
        <v>55</v>
      </c>
      <c r="C68" s="10" t="s">
        <v>83</v>
      </c>
      <c r="D68" s="12">
        <v>6544.76</v>
      </c>
      <c r="E68" s="12">
        <v>8409.27</v>
      </c>
      <c r="F68" s="12">
        <v>1864.51</v>
      </c>
      <c r="G68" s="13">
        <v>0.2848859240063807</v>
      </c>
    </row>
    <row r="69" spans="1:7">
      <c r="A69" s="10" t="s">
        <v>70</v>
      </c>
      <c r="B69" s="10" t="s">
        <v>55</v>
      </c>
      <c r="C69" s="10" t="s">
        <v>71</v>
      </c>
      <c r="D69" s="12">
        <v>51475.56</v>
      </c>
      <c r="E69" s="12">
        <v>41037.8</v>
      </c>
      <c r="F69" s="12">
        <v>-10437.76</v>
      </c>
      <c r="G69" s="13">
        <v>-0.2027711791770697</v>
      </c>
    </row>
    <row r="70" spans="1:7">
      <c r="A70" s="10" t="s">
        <v>70</v>
      </c>
      <c r="B70" s="10" t="s">
        <v>55</v>
      </c>
      <c r="C70" s="10" t="s">
        <v>86</v>
      </c>
      <c r="D70" s="12">
        <v>15552.91</v>
      </c>
      <c r="E70" s="12">
        <v>9044.01</v>
      </c>
      <c r="F70" s="12">
        <v>-6508.9</v>
      </c>
      <c r="G70" s="13">
        <v>-0.4185004606854923</v>
      </c>
    </row>
    <row r="71" spans="1:7">
      <c r="A71" s="10" t="s">
        <v>289</v>
      </c>
      <c r="B71" s="10" t="s">
        <v>67</v>
      </c>
      <c r="C71" s="10" t="s">
        <v>290</v>
      </c>
      <c r="D71" s="12">
        <v>95587.77</v>
      </c>
      <c r="E71" s="12">
        <v>29360.83</v>
      </c>
      <c r="F71" s="12">
        <v>-66226.94</v>
      </c>
      <c r="G71" s="13">
        <v>-0.6928390525273265</v>
      </c>
    </row>
    <row r="72" spans="1:7">
      <c r="A72" s="10" t="s">
        <v>289</v>
      </c>
      <c r="B72" s="10" t="s">
        <v>67</v>
      </c>
      <c r="C72" s="10" t="s">
        <v>294</v>
      </c>
      <c r="D72" s="12">
        <v>26099.89</v>
      </c>
      <c r="E72" s="12">
        <v>10000.52</v>
      </c>
      <c r="F72" s="12">
        <v>-16099.37</v>
      </c>
      <c r="G72" s="13">
        <v>-0.6168366993117596</v>
      </c>
    </row>
    <row r="73" spans="1:7">
      <c r="A73" s="10" t="s">
        <v>289</v>
      </c>
      <c r="B73" s="10" t="s">
        <v>67</v>
      </c>
      <c r="C73" s="10" t="s">
        <v>295</v>
      </c>
      <c r="D73" s="12">
        <v>184313.86</v>
      </c>
      <c r="E73" s="12">
        <v>85808.56</v>
      </c>
      <c r="F73" s="12">
        <v>-98505.3</v>
      </c>
      <c r="G73" s="13">
        <v>-0.5344432589063025</v>
      </c>
    </row>
    <row r="74" spans="1:7">
      <c r="A74" s="10" t="s">
        <v>289</v>
      </c>
      <c r="B74" s="10" t="s">
        <v>67</v>
      </c>
      <c r="C74" s="10" t="s">
        <v>291</v>
      </c>
      <c r="D74" s="12">
        <v>21138.55</v>
      </c>
      <c r="E74" s="12">
        <v>5779.67</v>
      </c>
      <c r="F74" s="12">
        <v>-15358.88</v>
      </c>
      <c r="G74" s="13">
        <v>-0.7265815299535683</v>
      </c>
    </row>
    <row r="75" spans="1:7">
      <c r="A75" s="10" t="s">
        <v>88</v>
      </c>
      <c r="B75" s="10" t="s">
        <v>55</v>
      </c>
      <c r="C75" s="10" t="s">
        <v>90</v>
      </c>
      <c r="D75" s="12">
        <v>57700.77</v>
      </c>
      <c r="E75" s="12">
        <v>37762.25</v>
      </c>
      <c r="F75" s="12">
        <v>-19938.52</v>
      </c>
      <c r="G75" s="13">
        <v>-0.3455503280112207</v>
      </c>
    </row>
    <row r="76" spans="1:7">
      <c r="A76" s="10" t="s">
        <v>88</v>
      </c>
      <c r="B76" s="10" t="s">
        <v>55</v>
      </c>
      <c r="C76" s="10" t="s">
        <v>91</v>
      </c>
      <c r="D76" s="12">
        <v>66132.42999999999</v>
      </c>
      <c r="E76" s="12">
        <v>169214.13</v>
      </c>
      <c r="F76" s="12">
        <v>103081.7</v>
      </c>
      <c r="G76" s="13">
        <v>1.558716351417905</v>
      </c>
    </row>
    <row r="77" spans="1:7">
      <c r="A77" s="10" t="s">
        <v>88</v>
      </c>
      <c r="B77" s="10" t="s">
        <v>55</v>
      </c>
      <c r="C77" s="10" t="s">
        <v>92</v>
      </c>
      <c r="D77" s="12">
        <v>65195.74</v>
      </c>
      <c r="E77" s="12">
        <v>39123.82</v>
      </c>
      <c r="F77" s="12">
        <v>-26071.92</v>
      </c>
      <c r="G77" s="13">
        <v>-0.3999022021991007</v>
      </c>
    </row>
    <row r="78" spans="1:7">
      <c r="A78" s="10" t="s">
        <v>88</v>
      </c>
      <c r="B78" s="10" t="s">
        <v>55</v>
      </c>
      <c r="C78" s="10" t="s">
        <v>93</v>
      </c>
      <c r="D78" s="12">
        <v>23859.26</v>
      </c>
      <c r="E78" s="12">
        <v>16232.68</v>
      </c>
      <c r="F78" s="12">
        <v>-7626.58</v>
      </c>
      <c r="G78" s="13">
        <v>-0.3196486395638423</v>
      </c>
    </row>
    <row r="79" spans="1:7">
      <c r="A79" s="10" t="s">
        <v>88</v>
      </c>
      <c r="B79" s="10" t="s">
        <v>55</v>
      </c>
      <c r="C79" s="10" t="s">
        <v>89</v>
      </c>
      <c r="D79" s="12">
        <v>0</v>
      </c>
      <c r="E79" s="12">
        <v>1048.43</v>
      </c>
      <c r="F79" s="12">
        <v>1048.43</v>
      </c>
      <c r="G79" s="13"/>
    </row>
    <row r="80" spans="1:7">
      <c r="A80" s="10" t="s">
        <v>94</v>
      </c>
      <c r="B80" s="10" t="s">
        <v>34</v>
      </c>
      <c r="C80" s="10" t="s">
        <v>97</v>
      </c>
      <c r="D80" s="12">
        <v>123895.8</v>
      </c>
      <c r="E80" s="12">
        <v>53975.22</v>
      </c>
      <c r="F80" s="12">
        <v>-69920.58</v>
      </c>
      <c r="G80" s="13">
        <v>-0.5643498811097714</v>
      </c>
    </row>
    <row r="81" spans="1:7">
      <c r="A81" s="10" t="s">
        <v>94</v>
      </c>
      <c r="B81" s="10" t="s">
        <v>34</v>
      </c>
      <c r="C81" s="10" t="s">
        <v>95</v>
      </c>
      <c r="D81" s="12">
        <v>62730.8</v>
      </c>
      <c r="E81" s="12">
        <v>12726.34</v>
      </c>
      <c r="F81" s="12">
        <v>-50004.46</v>
      </c>
      <c r="G81" s="13">
        <v>-0.7971277267307287</v>
      </c>
    </row>
    <row r="82" spans="1:7">
      <c r="A82" s="10" t="s">
        <v>94</v>
      </c>
      <c r="B82" s="10" t="s">
        <v>34</v>
      </c>
      <c r="C82" s="10" t="s">
        <v>96</v>
      </c>
      <c r="D82" s="12">
        <v>39314.86</v>
      </c>
      <c r="E82" s="12">
        <v>54037.85</v>
      </c>
      <c r="F82" s="12">
        <v>14722.99</v>
      </c>
      <c r="G82" s="13">
        <v>0.3744891880576454</v>
      </c>
    </row>
    <row r="83" spans="1:7">
      <c r="A83" s="10" t="s">
        <v>94</v>
      </c>
      <c r="B83" s="10" t="s">
        <v>34</v>
      </c>
      <c r="C83" s="10" t="s">
        <v>99</v>
      </c>
      <c r="D83" s="12">
        <v>9015.74</v>
      </c>
      <c r="E83" s="12">
        <v>736.62</v>
      </c>
      <c r="F83" s="12">
        <v>-8279.120000000001</v>
      </c>
      <c r="G83" s="13">
        <v>-0.9182962241590817</v>
      </c>
    </row>
    <row r="84" spans="1:7">
      <c r="A84" s="10" t="s">
        <v>94</v>
      </c>
      <c r="B84" s="10" t="s">
        <v>34</v>
      </c>
      <c r="C84" s="10" t="s">
        <v>98</v>
      </c>
      <c r="D84" s="12">
        <v>104534.12</v>
      </c>
      <c r="E84" s="12">
        <v>224440.22</v>
      </c>
      <c r="F84" s="12">
        <v>119906.1</v>
      </c>
      <c r="G84" s="13">
        <v>1.147052273458656</v>
      </c>
    </row>
    <row r="85" spans="1:7">
      <c r="A85" s="10" t="s">
        <v>100</v>
      </c>
      <c r="B85" s="10" t="s">
        <v>55</v>
      </c>
      <c r="C85" s="10" t="s">
        <v>101</v>
      </c>
      <c r="D85" s="12">
        <v>52392.52</v>
      </c>
      <c r="E85" s="12">
        <v>32982.47</v>
      </c>
      <c r="F85" s="12">
        <v>-19410.05</v>
      </c>
      <c r="G85" s="13">
        <v>-0.3704736859383744</v>
      </c>
    </row>
    <row r="86" spans="1:7">
      <c r="A86" s="10" t="s">
        <v>100</v>
      </c>
      <c r="B86" s="10" t="s">
        <v>55</v>
      </c>
      <c r="C86" s="10" t="s">
        <v>102</v>
      </c>
      <c r="D86" s="12">
        <v>86618.91</v>
      </c>
      <c r="E86" s="12">
        <v>16705.63</v>
      </c>
      <c r="F86" s="12">
        <v>-69913.28</v>
      </c>
      <c r="G86" s="13">
        <v>-0.8071364555384037</v>
      </c>
    </row>
    <row r="87" spans="1:7">
      <c r="A87" s="10" t="s">
        <v>100</v>
      </c>
      <c r="B87" s="10" t="s">
        <v>55</v>
      </c>
      <c r="C87" s="10" t="s">
        <v>103</v>
      </c>
      <c r="D87" s="12">
        <v>300.38</v>
      </c>
      <c r="E87" s="12">
        <v>935.1900000000001</v>
      </c>
      <c r="F87" s="12">
        <v>634.8099999999999</v>
      </c>
      <c r="G87" s="13">
        <v>2.113356415207404</v>
      </c>
    </row>
    <row r="88" spans="1:7">
      <c r="A88" s="10" t="s">
        <v>123</v>
      </c>
      <c r="B88" s="10" t="s">
        <v>67</v>
      </c>
      <c r="C88" s="10" t="s">
        <v>135</v>
      </c>
      <c r="D88" s="12">
        <v>21277.08</v>
      </c>
      <c r="E88" s="12">
        <v>72319.32000000001</v>
      </c>
      <c r="F88" s="12">
        <v>51042.24</v>
      </c>
      <c r="G88" s="13">
        <v>2.398930680337716</v>
      </c>
    </row>
    <row r="89" spans="1:7">
      <c r="A89" s="10" t="s">
        <v>123</v>
      </c>
      <c r="B89" s="10" t="s">
        <v>67</v>
      </c>
      <c r="C89" s="10" t="s">
        <v>132</v>
      </c>
      <c r="D89" s="12">
        <v>233632.69</v>
      </c>
      <c r="E89" s="12">
        <v>231084.75</v>
      </c>
      <c r="F89" s="12">
        <v>-2547.94</v>
      </c>
      <c r="G89" s="13">
        <v>-0.01090575124568398</v>
      </c>
    </row>
    <row r="90" spans="1:7">
      <c r="A90" s="10" t="s">
        <v>123</v>
      </c>
      <c r="B90" s="10" t="s">
        <v>67</v>
      </c>
      <c r="C90" s="10" t="s">
        <v>129</v>
      </c>
      <c r="D90" s="12">
        <v>243678.81</v>
      </c>
      <c r="E90" s="12">
        <v>328291.76</v>
      </c>
      <c r="F90" s="12">
        <v>84612.95</v>
      </c>
      <c r="G90" s="13">
        <v>0.3472314642376989</v>
      </c>
    </row>
    <row r="91" spans="1:7">
      <c r="A91" s="10" t="s">
        <v>123</v>
      </c>
      <c r="B91" s="10" t="s">
        <v>67</v>
      </c>
      <c r="C91" s="10" t="s">
        <v>131</v>
      </c>
      <c r="D91" s="12">
        <v>173115.95</v>
      </c>
      <c r="E91" s="12">
        <v>23233.01</v>
      </c>
      <c r="F91" s="12">
        <v>-149882.94</v>
      </c>
      <c r="G91" s="13">
        <v>-0.8657950928265131</v>
      </c>
    </row>
    <row r="92" spans="1:7">
      <c r="A92" s="10" t="s">
        <v>123</v>
      </c>
      <c r="B92" s="10" t="s">
        <v>67</v>
      </c>
      <c r="C92" s="10" t="s">
        <v>133</v>
      </c>
      <c r="D92" s="12">
        <v>196018.55</v>
      </c>
      <c r="E92" s="12">
        <v>140479.4</v>
      </c>
      <c r="F92" s="12">
        <v>-55539.15</v>
      </c>
      <c r="G92" s="13">
        <v>-0.2833361944571062</v>
      </c>
    </row>
    <row r="93" spans="1:7">
      <c r="A93" s="10" t="s">
        <v>123</v>
      </c>
      <c r="B93" s="10" t="s">
        <v>67</v>
      </c>
      <c r="C93" s="10" t="s">
        <v>134</v>
      </c>
      <c r="D93" s="12">
        <v>17740.48</v>
      </c>
      <c r="E93" s="12">
        <v>12799.75</v>
      </c>
      <c r="F93" s="12">
        <v>-4940.73</v>
      </c>
      <c r="G93" s="13">
        <v>-0.278500356247407</v>
      </c>
    </row>
    <row r="94" spans="1:7">
      <c r="A94" s="10" t="s">
        <v>123</v>
      </c>
      <c r="B94" s="10" t="s">
        <v>67</v>
      </c>
      <c r="C94" s="10" t="s">
        <v>130</v>
      </c>
      <c r="D94" s="12">
        <v>277039.09</v>
      </c>
      <c r="E94" s="12">
        <v>29848.07</v>
      </c>
      <c r="F94" s="12">
        <v>-247191.02</v>
      </c>
      <c r="G94" s="13">
        <v>-0.892260438770572</v>
      </c>
    </row>
    <row r="95" spans="1:7">
      <c r="A95" s="10" t="s">
        <v>123</v>
      </c>
      <c r="B95" s="10" t="s">
        <v>67</v>
      </c>
      <c r="C95" s="10" t="s">
        <v>136</v>
      </c>
      <c r="D95" s="12">
        <v>70777.60000000001</v>
      </c>
      <c r="E95" s="12">
        <v>41118.92</v>
      </c>
      <c r="F95" s="12">
        <v>-29658.68</v>
      </c>
      <c r="G95" s="13">
        <v>-0.4190404873858396</v>
      </c>
    </row>
    <row r="96" spans="1:7">
      <c r="A96" s="10" t="s">
        <v>123</v>
      </c>
      <c r="B96" s="10" t="s">
        <v>67</v>
      </c>
      <c r="C96" s="10" t="s">
        <v>138</v>
      </c>
      <c r="D96" s="12">
        <v>36444.42</v>
      </c>
      <c r="E96" s="12">
        <v>33555.97</v>
      </c>
      <c r="F96" s="12">
        <v>-2888.45</v>
      </c>
      <c r="G96" s="13">
        <v>-0.07925630315971553</v>
      </c>
    </row>
    <row r="97" spans="1:7">
      <c r="A97" s="10" t="s">
        <v>123</v>
      </c>
      <c r="B97" s="10" t="s">
        <v>67</v>
      </c>
      <c r="C97" s="10" t="s">
        <v>125</v>
      </c>
      <c r="D97" s="12">
        <v>0</v>
      </c>
      <c r="E97" s="12">
        <v>20097.82</v>
      </c>
      <c r="F97" s="12">
        <v>20097.82</v>
      </c>
      <c r="G97" s="13"/>
    </row>
    <row r="98" spans="1:7">
      <c r="A98" s="10" t="s">
        <v>123</v>
      </c>
      <c r="B98" s="10" t="s">
        <v>67</v>
      </c>
      <c r="C98" s="10" t="s">
        <v>124</v>
      </c>
      <c r="D98" s="12">
        <v>46562.98</v>
      </c>
      <c r="E98" s="12">
        <v>59432.34</v>
      </c>
      <c r="F98" s="12">
        <v>12869.36</v>
      </c>
      <c r="G98" s="13">
        <v>0.276386090409162</v>
      </c>
    </row>
    <row r="99" spans="1:7">
      <c r="A99" s="10" t="s">
        <v>123</v>
      </c>
      <c r="B99" s="10" t="s">
        <v>67</v>
      </c>
      <c r="C99" s="10" t="s">
        <v>139</v>
      </c>
      <c r="D99" s="12">
        <v>108498.74</v>
      </c>
      <c r="E99" s="12">
        <v>90348.38</v>
      </c>
      <c r="F99" s="12">
        <v>-18150.36</v>
      </c>
      <c r="G99" s="13">
        <v>-0.1672863666435205</v>
      </c>
    </row>
    <row r="100" spans="1:7">
      <c r="A100" s="10" t="s">
        <v>123</v>
      </c>
      <c r="B100" s="10" t="s">
        <v>67</v>
      </c>
      <c r="C100" s="10" t="s">
        <v>127</v>
      </c>
      <c r="D100" s="12">
        <v>11681.55</v>
      </c>
      <c r="E100" s="12">
        <v>21899.17</v>
      </c>
      <c r="F100" s="12">
        <v>10217.62</v>
      </c>
      <c r="G100" s="13">
        <v>0.8746801580269742</v>
      </c>
    </row>
    <row r="101" spans="1:7">
      <c r="A101" s="10" t="s">
        <v>123</v>
      </c>
      <c r="B101" s="10" t="s">
        <v>67</v>
      </c>
      <c r="C101" s="10" t="s">
        <v>137</v>
      </c>
      <c r="D101" s="12">
        <v>101544.71</v>
      </c>
      <c r="E101" s="12">
        <v>38009.71</v>
      </c>
      <c r="F101" s="12">
        <v>-63535</v>
      </c>
      <c r="G101" s="13">
        <v>-0.6256849815219325</v>
      </c>
    </row>
    <row r="102" spans="1:7">
      <c r="A102" s="10" t="s">
        <v>276</v>
      </c>
      <c r="B102" s="10" t="s">
        <v>67</v>
      </c>
      <c r="C102" s="10" t="s">
        <v>277</v>
      </c>
      <c r="D102" s="12">
        <v>75165.44</v>
      </c>
      <c r="E102" s="12">
        <v>30494.49</v>
      </c>
      <c r="F102" s="12">
        <v>-44670.95</v>
      </c>
      <c r="G102" s="13">
        <v>-0.5943017163206921</v>
      </c>
    </row>
    <row r="103" spans="1:7">
      <c r="A103" s="10" t="s">
        <v>276</v>
      </c>
      <c r="B103" s="10" t="s">
        <v>67</v>
      </c>
      <c r="C103" s="10" t="s">
        <v>281</v>
      </c>
      <c r="D103" s="12">
        <v>315174.08</v>
      </c>
      <c r="E103" s="12">
        <v>237215.93</v>
      </c>
      <c r="F103" s="12">
        <v>-77958.14999999999</v>
      </c>
      <c r="G103" s="13">
        <v>-0.2473494965068193</v>
      </c>
    </row>
    <row r="104" spans="1:7">
      <c r="A104" s="10" t="s">
        <v>276</v>
      </c>
      <c r="B104" s="10" t="s">
        <v>67</v>
      </c>
      <c r="C104" s="10" t="s">
        <v>280</v>
      </c>
      <c r="D104" s="12">
        <v>81311.50999999999</v>
      </c>
      <c r="E104" s="12">
        <v>61841.82</v>
      </c>
      <c r="F104" s="12">
        <v>-19469.69</v>
      </c>
      <c r="G104" s="13">
        <v>-0.2394456824132278</v>
      </c>
    </row>
    <row r="105" spans="1:7">
      <c r="A105" s="10" t="s">
        <v>276</v>
      </c>
      <c r="B105" s="10" t="s">
        <v>67</v>
      </c>
      <c r="C105" s="10" t="s">
        <v>278</v>
      </c>
      <c r="D105" s="12">
        <v>88762.41</v>
      </c>
      <c r="E105" s="12">
        <v>19120.2</v>
      </c>
      <c r="F105" s="12">
        <v>-69642.21000000001</v>
      </c>
      <c r="G105" s="13">
        <v>-0.7845912475787893</v>
      </c>
    </row>
    <row r="106" spans="1:7">
      <c r="A106" s="10" t="s">
        <v>276</v>
      </c>
      <c r="B106" s="10" t="s">
        <v>67</v>
      </c>
      <c r="C106" s="10" t="s">
        <v>282</v>
      </c>
      <c r="D106" s="12">
        <v>0</v>
      </c>
      <c r="E106" s="12">
        <v>0</v>
      </c>
      <c r="F106" s="12">
        <v>0</v>
      </c>
      <c r="G106" s="13"/>
    </row>
    <row r="107" spans="1:7">
      <c r="A107" s="10" t="s">
        <v>276</v>
      </c>
      <c r="B107" s="10" t="s">
        <v>67</v>
      </c>
      <c r="C107" s="10" t="s">
        <v>279</v>
      </c>
      <c r="D107" s="12">
        <v>6249.05</v>
      </c>
      <c r="E107" s="12">
        <v>4402.27</v>
      </c>
      <c r="F107" s="12">
        <v>-1846.78</v>
      </c>
      <c r="G107" s="13">
        <v>-0.2955297205175186</v>
      </c>
    </row>
    <row r="108" spans="1:7">
      <c r="A108" s="10" t="s">
        <v>276</v>
      </c>
      <c r="B108" s="10" t="s">
        <v>67</v>
      </c>
      <c r="C108" s="10" t="s">
        <v>283</v>
      </c>
      <c r="D108" s="12">
        <v>1326.01</v>
      </c>
      <c r="E108" s="12">
        <v>0</v>
      </c>
      <c r="F108" s="12">
        <v>-1326.01</v>
      </c>
      <c r="G108" s="13">
        <v>-1</v>
      </c>
    </row>
    <row r="109" spans="1:7">
      <c r="A109" s="10" t="s">
        <v>104</v>
      </c>
      <c r="B109" s="10" t="s">
        <v>67</v>
      </c>
      <c r="C109" s="10" t="s">
        <v>106</v>
      </c>
      <c r="D109" s="12">
        <v>12033.61</v>
      </c>
      <c r="E109" s="12">
        <v>851.22</v>
      </c>
      <c r="F109" s="12">
        <v>-11182.39</v>
      </c>
      <c r="G109" s="13">
        <v>-0.9292631222052234</v>
      </c>
    </row>
    <row r="110" spans="1:7">
      <c r="A110" s="10" t="s">
        <v>104</v>
      </c>
      <c r="B110" s="10" t="s">
        <v>67</v>
      </c>
      <c r="C110" s="10" t="s">
        <v>108</v>
      </c>
      <c r="D110" s="12">
        <v>17403.26</v>
      </c>
      <c r="E110" s="12">
        <v>10955.98</v>
      </c>
      <c r="F110" s="12">
        <v>-6447.28</v>
      </c>
      <c r="G110" s="13">
        <v>-0.3704639245750508</v>
      </c>
    </row>
    <row r="111" spans="1:7">
      <c r="A111" s="10" t="s">
        <v>104</v>
      </c>
      <c r="B111" s="10" t="s">
        <v>67</v>
      </c>
      <c r="C111" s="10" t="s">
        <v>107</v>
      </c>
      <c r="D111" s="12">
        <v>10389.29</v>
      </c>
      <c r="E111" s="12">
        <v>14590.8</v>
      </c>
      <c r="F111" s="12">
        <v>4201.51</v>
      </c>
      <c r="G111" s="13">
        <v>0.4044078084257923</v>
      </c>
    </row>
    <row r="112" spans="1:7">
      <c r="A112" s="10" t="s">
        <v>111</v>
      </c>
      <c r="B112" s="10" t="s">
        <v>67</v>
      </c>
      <c r="C112" s="10" t="s">
        <v>114</v>
      </c>
      <c r="D112" s="12">
        <v>163879.81</v>
      </c>
      <c r="E112" s="12">
        <v>27006.84</v>
      </c>
      <c r="F112" s="12">
        <v>-136872.97</v>
      </c>
      <c r="G112" s="13">
        <v>-0.8352033725203856</v>
      </c>
    </row>
    <row r="113" spans="1:7">
      <c r="A113" s="10" t="s">
        <v>111</v>
      </c>
      <c r="B113" s="10" t="s">
        <v>67</v>
      </c>
      <c r="C113" s="10" t="s">
        <v>116</v>
      </c>
      <c r="D113" s="12">
        <v>163310.55</v>
      </c>
      <c r="E113" s="12">
        <v>111996.98</v>
      </c>
      <c r="F113" s="12">
        <v>-51313.57</v>
      </c>
      <c r="G113" s="13">
        <v>-0.3142085431712771</v>
      </c>
    </row>
    <row r="114" spans="1:7">
      <c r="A114" s="10" t="s">
        <v>111</v>
      </c>
      <c r="B114" s="10" t="s">
        <v>67</v>
      </c>
      <c r="C114" s="10" t="s">
        <v>120</v>
      </c>
      <c r="D114" s="12">
        <v>100181.42</v>
      </c>
      <c r="E114" s="12">
        <v>87419.39999999999</v>
      </c>
      <c r="F114" s="12">
        <v>-12762.02</v>
      </c>
      <c r="G114" s="13">
        <v>-0.127389090711631</v>
      </c>
    </row>
    <row r="115" spans="1:7">
      <c r="A115" s="10" t="s">
        <v>111</v>
      </c>
      <c r="B115" s="10" t="s">
        <v>67</v>
      </c>
      <c r="C115" s="10" t="s">
        <v>121</v>
      </c>
      <c r="D115" s="12">
        <v>101590.42</v>
      </c>
      <c r="E115" s="12">
        <v>14798.25</v>
      </c>
      <c r="F115" s="12">
        <v>-86792.17</v>
      </c>
      <c r="G115" s="13">
        <v>-0.8543341980474143</v>
      </c>
    </row>
    <row r="116" spans="1:7">
      <c r="A116" s="10" t="s">
        <v>111</v>
      </c>
      <c r="B116" s="10" t="s">
        <v>67</v>
      </c>
      <c r="C116" s="10" t="s">
        <v>117</v>
      </c>
      <c r="D116" s="12">
        <v>375074.17</v>
      </c>
      <c r="E116" s="12">
        <v>164704.73</v>
      </c>
      <c r="F116" s="12">
        <v>-210369.44</v>
      </c>
      <c r="G116" s="13">
        <v>-0.5608742398870068</v>
      </c>
    </row>
    <row r="117" spans="1:7">
      <c r="A117" s="10" t="s">
        <v>111</v>
      </c>
      <c r="B117" s="10" t="s">
        <v>67</v>
      </c>
      <c r="C117" s="10" t="s">
        <v>118</v>
      </c>
      <c r="D117" s="12">
        <v>123993.3</v>
      </c>
      <c r="E117" s="12">
        <v>326765.62</v>
      </c>
      <c r="F117" s="12">
        <v>202772.32</v>
      </c>
      <c r="G117" s="13">
        <v>1.635349006760849</v>
      </c>
    </row>
    <row r="118" spans="1:7">
      <c r="A118" s="10" t="s">
        <v>111</v>
      </c>
      <c r="B118" s="10" t="s">
        <v>67</v>
      </c>
      <c r="C118" s="10" t="s">
        <v>112</v>
      </c>
      <c r="D118" s="12">
        <v>76135.83</v>
      </c>
      <c r="E118" s="12">
        <v>89726.13</v>
      </c>
      <c r="F118" s="12">
        <v>13590.3</v>
      </c>
      <c r="G118" s="13">
        <v>0.1785007137900775</v>
      </c>
    </row>
    <row r="119" spans="1:7">
      <c r="A119" s="10" t="s">
        <v>111</v>
      </c>
      <c r="B119" s="10" t="s">
        <v>67</v>
      </c>
      <c r="C119" s="10" t="s">
        <v>119</v>
      </c>
      <c r="D119" s="12">
        <v>50032.53</v>
      </c>
      <c r="E119" s="12">
        <v>70887.67</v>
      </c>
      <c r="F119" s="12">
        <v>20855.14</v>
      </c>
      <c r="G119" s="13">
        <v>0.4168316093549537</v>
      </c>
    </row>
    <row r="120" spans="1:7">
      <c r="A120" s="10" t="s">
        <v>111</v>
      </c>
      <c r="B120" s="10" t="s">
        <v>67</v>
      </c>
      <c r="C120" s="10" t="s">
        <v>122</v>
      </c>
      <c r="D120" s="12">
        <v>12378.53</v>
      </c>
      <c r="E120" s="12">
        <v>9218.940000000001</v>
      </c>
      <c r="F120" s="12">
        <v>-3159.59</v>
      </c>
      <c r="G120" s="13">
        <v>-0.2552475940196453</v>
      </c>
    </row>
    <row r="121" spans="1:7">
      <c r="A121" s="10" t="s">
        <v>161</v>
      </c>
      <c r="B121" s="10" t="s">
        <v>67</v>
      </c>
      <c r="C121" s="10" t="s">
        <v>166</v>
      </c>
      <c r="D121" s="12">
        <v>28233.08</v>
      </c>
      <c r="E121" s="12">
        <v>45369.4</v>
      </c>
      <c r="F121" s="12">
        <v>17136.32</v>
      </c>
      <c r="G121" s="13">
        <v>0.6069589290293513</v>
      </c>
    </row>
    <row r="122" spans="1:7">
      <c r="A122" s="10" t="s">
        <v>161</v>
      </c>
      <c r="B122" s="10" t="s">
        <v>67</v>
      </c>
      <c r="C122" s="10" t="s">
        <v>162</v>
      </c>
      <c r="D122" s="12">
        <v>133285.87</v>
      </c>
      <c r="E122" s="12">
        <v>65939.94</v>
      </c>
      <c r="F122" s="12">
        <v>-67345.92999999999</v>
      </c>
      <c r="G122" s="13">
        <v>-0.5052743400331933</v>
      </c>
    </row>
    <row r="123" spans="1:7">
      <c r="A123" s="10" t="s">
        <v>161</v>
      </c>
      <c r="B123" s="10" t="s">
        <v>67</v>
      </c>
      <c r="C123" s="10" t="s">
        <v>163</v>
      </c>
      <c r="D123" s="12">
        <v>31603.1</v>
      </c>
      <c r="E123" s="12">
        <v>41730.02</v>
      </c>
      <c r="F123" s="12">
        <v>10126.92</v>
      </c>
      <c r="G123" s="13">
        <v>0.3204407162588481</v>
      </c>
    </row>
    <row r="124" spans="1:7">
      <c r="A124" s="10" t="s">
        <v>161</v>
      </c>
      <c r="B124" s="10" t="s">
        <v>67</v>
      </c>
      <c r="C124" s="10" t="s">
        <v>165</v>
      </c>
      <c r="D124" s="12">
        <v>46402.92</v>
      </c>
      <c r="E124" s="12">
        <v>29913.96</v>
      </c>
      <c r="F124" s="12">
        <v>-16488.96</v>
      </c>
      <c r="G124" s="13">
        <v>-0.3553431551290307</v>
      </c>
    </row>
    <row r="125" spans="1:7">
      <c r="A125" s="10" t="s">
        <v>161</v>
      </c>
      <c r="B125" s="10" t="s">
        <v>67</v>
      </c>
      <c r="C125" s="10" t="s">
        <v>164</v>
      </c>
      <c r="D125" s="12">
        <v>190393.2</v>
      </c>
      <c r="E125" s="12">
        <v>48254.44</v>
      </c>
      <c r="F125" s="12">
        <v>-142138.76</v>
      </c>
      <c r="G125" s="13">
        <v>-0.746553763474746</v>
      </c>
    </row>
    <row r="126" spans="1:7">
      <c r="A126" s="10" t="s">
        <v>161</v>
      </c>
      <c r="B126" s="10" t="s">
        <v>67</v>
      </c>
      <c r="C126" s="10" t="s">
        <v>168</v>
      </c>
      <c r="D126" s="12">
        <v>7327.95</v>
      </c>
      <c r="E126" s="12">
        <v>4405.87</v>
      </c>
      <c r="F126" s="12">
        <v>-2922.08</v>
      </c>
      <c r="G126" s="13">
        <v>-0.3987581792998041</v>
      </c>
    </row>
    <row r="127" spans="1:7">
      <c r="A127" s="10" t="s">
        <v>169</v>
      </c>
      <c r="B127" s="10" t="s">
        <v>67</v>
      </c>
      <c r="C127" s="10" t="s">
        <v>173</v>
      </c>
      <c r="D127" s="12">
        <v>126603.27</v>
      </c>
      <c r="E127" s="12">
        <v>59017.1</v>
      </c>
      <c r="F127" s="12">
        <v>-67586.17</v>
      </c>
      <c r="G127" s="13">
        <v>-0.5338422143440686</v>
      </c>
    </row>
    <row r="128" spans="1:7">
      <c r="A128" s="10" t="s">
        <v>169</v>
      </c>
      <c r="B128" s="10" t="s">
        <v>67</v>
      </c>
      <c r="C128" s="10" t="s">
        <v>174</v>
      </c>
      <c r="D128" s="12">
        <v>237477.49</v>
      </c>
      <c r="E128" s="12">
        <v>47262.07</v>
      </c>
      <c r="F128" s="12">
        <v>-190215.42</v>
      </c>
      <c r="G128" s="13">
        <v>-0.8009829478996093</v>
      </c>
    </row>
    <row r="129" spans="1:7">
      <c r="A129" s="10" t="s">
        <v>169</v>
      </c>
      <c r="B129" s="10" t="s">
        <v>67</v>
      </c>
      <c r="C129" s="10" t="s">
        <v>175</v>
      </c>
      <c r="D129" s="12">
        <v>272403.45</v>
      </c>
      <c r="E129" s="12">
        <v>48962.98</v>
      </c>
      <c r="F129" s="12">
        <v>-223440.47</v>
      </c>
      <c r="G129" s="13">
        <v>-0.8202556538839724</v>
      </c>
    </row>
    <row r="130" spans="1:7">
      <c r="A130" s="10" t="s">
        <v>169</v>
      </c>
      <c r="B130" s="10" t="s">
        <v>67</v>
      </c>
      <c r="C130" s="10" t="s">
        <v>171</v>
      </c>
      <c r="D130" s="12">
        <v>2181.36</v>
      </c>
      <c r="E130" s="12">
        <v>2136.66</v>
      </c>
      <c r="F130" s="12">
        <v>-44.7</v>
      </c>
      <c r="G130" s="13">
        <v>-0.02049180327868852</v>
      </c>
    </row>
    <row r="131" spans="1:7">
      <c r="A131" s="10" t="s">
        <v>169</v>
      </c>
      <c r="B131" s="10" t="s">
        <v>67</v>
      </c>
      <c r="C131" s="10" t="s">
        <v>170</v>
      </c>
      <c r="D131" s="12">
        <v>18571.33</v>
      </c>
      <c r="E131" s="12">
        <v>26289.23</v>
      </c>
      <c r="F131" s="12">
        <v>7717.9</v>
      </c>
      <c r="G131" s="13">
        <v>0.4155814365476247</v>
      </c>
    </row>
    <row r="132" spans="1:7">
      <c r="A132" s="10" t="s">
        <v>213</v>
      </c>
      <c r="B132" s="10" t="s">
        <v>67</v>
      </c>
      <c r="C132" s="10" t="s">
        <v>215</v>
      </c>
      <c r="D132" s="12">
        <v>44270.46</v>
      </c>
      <c r="E132" s="12">
        <v>15253.68</v>
      </c>
      <c r="F132" s="12">
        <v>-29016.78</v>
      </c>
      <c r="G132" s="13">
        <v>-0.6554433814331272</v>
      </c>
    </row>
    <row r="133" spans="1:7">
      <c r="A133" s="10" t="s">
        <v>213</v>
      </c>
      <c r="B133" s="10" t="s">
        <v>67</v>
      </c>
      <c r="C133" s="10" t="s">
        <v>223</v>
      </c>
      <c r="D133" s="12">
        <v>33232.99</v>
      </c>
      <c r="E133" s="12">
        <v>16513.54</v>
      </c>
      <c r="F133" s="12">
        <v>-16719.45</v>
      </c>
      <c r="G133" s="13">
        <v>-0.5030979758366612</v>
      </c>
    </row>
    <row r="134" spans="1:7">
      <c r="A134" s="10" t="s">
        <v>213</v>
      </c>
      <c r="B134" s="10" t="s">
        <v>67</v>
      </c>
      <c r="C134" s="10" t="s">
        <v>228</v>
      </c>
      <c r="D134" s="12">
        <v>45618.12</v>
      </c>
      <c r="E134" s="12">
        <v>19478.87</v>
      </c>
      <c r="F134" s="12">
        <v>-26139.25</v>
      </c>
      <c r="G134" s="13">
        <v>-0.5730014739756921</v>
      </c>
    </row>
    <row r="135" spans="1:7">
      <c r="A135" s="10" t="s">
        <v>213</v>
      </c>
      <c r="B135" s="10" t="s">
        <v>67</v>
      </c>
      <c r="C135" s="10" t="s">
        <v>227</v>
      </c>
      <c r="D135" s="12">
        <v>46443.07</v>
      </c>
      <c r="E135" s="12">
        <v>24161.33</v>
      </c>
      <c r="F135" s="12">
        <v>-22281.74</v>
      </c>
      <c r="G135" s="13">
        <v>-0.4797645805929712</v>
      </c>
    </row>
    <row r="136" spans="1:7">
      <c r="A136" s="10" t="s">
        <v>213</v>
      </c>
      <c r="B136" s="10" t="s">
        <v>67</v>
      </c>
      <c r="C136" s="10" t="s">
        <v>214</v>
      </c>
      <c r="D136" s="12">
        <v>211221.54</v>
      </c>
      <c r="E136" s="12">
        <v>90030.06</v>
      </c>
      <c r="F136" s="12">
        <v>-121191.48</v>
      </c>
      <c r="G136" s="13">
        <v>-0.5737647779672471</v>
      </c>
    </row>
    <row r="137" spans="1:7">
      <c r="A137" s="10" t="s">
        <v>213</v>
      </c>
      <c r="B137" s="10" t="s">
        <v>67</v>
      </c>
      <c r="C137" s="10" t="s">
        <v>222</v>
      </c>
      <c r="D137" s="12">
        <v>164862.59</v>
      </c>
      <c r="E137" s="12">
        <v>51774.3</v>
      </c>
      <c r="F137" s="12">
        <v>-113088.29</v>
      </c>
      <c r="G137" s="13">
        <v>-0.685954830625917</v>
      </c>
    </row>
    <row r="138" spans="1:7">
      <c r="A138" s="10" t="s">
        <v>213</v>
      </c>
      <c r="B138" s="10" t="s">
        <v>67</v>
      </c>
      <c r="C138" s="10" t="s">
        <v>219</v>
      </c>
      <c r="D138" s="12">
        <v>227352.1</v>
      </c>
      <c r="E138" s="12">
        <v>111134.87</v>
      </c>
      <c r="F138" s="12">
        <v>-116217.23</v>
      </c>
      <c r="G138" s="13">
        <v>-0.511177288443784</v>
      </c>
    </row>
    <row r="139" spans="1:7">
      <c r="A139" s="10" t="s">
        <v>213</v>
      </c>
      <c r="B139" s="10" t="s">
        <v>67</v>
      </c>
      <c r="C139" s="10" t="s">
        <v>220</v>
      </c>
      <c r="D139" s="12">
        <v>241654.91</v>
      </c>
      <c r="E139" s="12">
        <v>55000.88</v>
      </c>
      <c r="F139" s="12">
        <v>-186654.03</v>
      </c>
      <c r="G139" s="13">
        <v>-0.7723990793317629</v>
      </c>
    </row>
    <row r="140" spans="1:7">
      <c r="A140" s="10" t="s">
        <v>213</v>
      </c>
      <c r="B140" s="10" t="s">
        <v>67</v>
      </c>
      <c r="C140" s="10" t="s">
        <v>217</v>
      </c>
      <c r="D140" s="12">
        <v>57748</v>
      </c>
      <c r="E140" s="12">
        <v>42677.27</v>
      </c>
      <c r="F140" s="12">
        <v>-15070.73</v>
      </c>
      <c r="G140" s="13">
        <v>-0.2609740597076955</v>
      </c>
    </row>
    <row r="141" spans="1:7">
      <c r="A141" s="10" t="s">
        <v>213</v>
      </c>
      <c r="B141" s="10" t="s">
        <v>67</v>
      </c>
      <c r="C141" s="10" t="s">
        <v>218</v>
      </c>
      <c r="D141" s="12">
        <v>96550.23</v>
      </c>
      <c r="E141" s="12">
        <v>118462.18</v>
      </c>
      <c r="F141" s="12">
        <v>21911.95</v>
      </c>
      <c r="G141" s="13">
        <v>0.2269487084598348</v>
      </c>
    </row>
    <row r="142" spans="1:7">
      <c r="A142" s="10" t="s">
        <v>213</v>
      </c>
      <c r="B142" s="10" t="s">
        <v>67</v>
      </c>
      <c r="C142" s="10" t="s">
        <v>216</v>
      </c>
      <c r="D142" s="12">
        <v>0</v>
      </c>
      <c r="E142" s="12">
        <v>420.08</v>
      </c>
      <c r="F142" s="12">
        <v>420.08</v>
      </c>
      <c r="G142" s="13"/>
    </row>
    <row r="143" spans="1:7">
      <c r="A143" s="10" t="s">
        <v>213</v>
      </c>
      <c r="B143" s="10" t="s">
        <v>67</v>
      </c>
      <c r="C143" s="10" t="s">
        <v>224</v>
      </c>
      <c r="D143" s="12">
        <v>0</v>
      </c>
      <c r="E143" s="12">
        <v>2118.38</v>
      </c>
      <c r="F143" s="12">
        <v>2118.38</v>
      </c>
      <c r="G143" s="13"/>
    </row>
    <row r="144" spans="1:7">
      <c r="A144" s="10" t="s">
        <v>66</v>
      </c>
      <c r="B144" s="10" t="s">
        <v>67</v>
      </c>
      <c r="C144" s="10" t="s">
        <v>68</v>
      </c>
      <c r="D144" s="12">
        <v>8438.67</v>
      </c>
      <c r="E144" s="12">
        <v>28467.5</v>
      </c>
      <c r="F144" s="12">
        <v>20028.83</v>
      </c>
      <c r="G144" s="13">
        <v>2.37345813973055</v>
      </c>
    </row>
    <row r="145" spans="1:7">
      <c r="A145" s="10" t="s">
        <v>66</v>
      </c>
      <c r="B145" s="10" t="s">
        <v>67</v>
      </c>
      <c r="C145" s="10" t="s">
        <v>69</v>
      </c>
      <c r="D145" s="12">
        <v>3544.14</v>
      </c>
      <c r="E145" s="12">
        <v>14983.91</v>
      </c>
      <c r="F145" s="12">
        <v>11439.77</v>
      </c>
      <c r="G145" s="13">
        <v>3.227798563262174</v>
      </c>
    </row>
    <row r="146" spans="1:7">
      <c r="A146" s="10" t="s">
        <v>261</v>
      </c>
      <c r="B146" s="10" t="s">
        <v>67</v>
      </c>
      <c r="C146" s="10" t="s">
        <v>262</v>
      </c>
      <c r="D146" s="12">
        <v>189006.15</v>
      </c>
      <c r="E146" s="12">
        <v>17349.87</v>
      </c>
      <c r="F146" s="12">
        <v>-171656.28</v>
      </c>
      <c r="G146" s="13">
        <v>-0.9082047330205921</v>
      </c>
    </row>
    <row r="147" spans="1:7">
      <c r="A147" s="10" t="s">
        <v>261</v>
      </c>
      <c r="B147" s="10" t="s">
        <v>67</v>
      </c>
      <c r="C147" s="10" t="s">
        <v>263</v>
      </c>
      <c r="D147" s="12">
        <v>50495.4</v>
      </c>
      <c r="E147" s="12">
        <v>2326.51</v>
      </c>
      <c r="F147" s="12">
        <v>-48168.89</v>
      </c>
      <c r="G147" s="13">
        <v>-0.9539262982370671</v>
      </c>
    </row>
    <row r="148" spans="1:7">
      <c r="A148" s="10" t="s">
        <v>305</v>
      </c>
      <c r="B148" s="10" t="s">
        <v>67</v>
      </c>
      <c r="C148" s="10" t="s">
        <v>317</v>
      </c>
      <c r="D148" s="12">
        <v>10857.64</v>
      </c>
      <c r="E148" s="12">
        <v>25410.07</v>
      </c>
      <c r="F148" s="12">
        <v>14552.43</v>
      </c>
      <c r="G148" s="13">
        <v>1.34029402337893</v>
      </c>
    </row>
    <row r="149" spans="1:7">
      <c r="A149" s="10" t="s">
        <v>305</v>
      </c>
      <c r="B149" s="10" t="s">
        <v>67</v>
      </c>
      <c r="C149" s="10" t="s">
        <v>313</v>
      </c>
      <c r="D149" s="12">
        <v>137395.21</v>
      </c>
      <c r="E149" s="12">
        <v>93969</v>
      </c>
      <c r="F149" s="12">
        <v>-43426.21</v>
      </c>
      <c r="G149" s="13">
        <v>-0.3160678600076378</v>
      </c>
    </row>
    <row r="150" spans="1:7">
      <c r="A150" s="10" t="s">
        <v>305</v>
      </c>
      <c r="B150" s="10" t="s">
        <v>67</v>
      </c>
      <c r="C150" s="10" t="s">
        <v>312</v>
      </c>
      <c r="D150" s="12">
        <v>497242.02</v>
      </c>
      <c r="E150" s="12">
        <v>220730.16</v>
      </c>
      <c r="F150" s="12">
        <v>-276511.86</v>
      </c>
      <c r="G150" s="13">
        <v>-0.5560910962432338</v>
      </c>
    </row>
    <row r="151" spans="1:7">
      <c r="A151" s="10" t="s">
        <v>305</v>
      </c>
      <c r="B151" s="10" t="s">
        <v>67</v>
      </c>
      <c r="C151" s="10" t="s">
        <v>315</v>
      </c>
      <c r="D151" s="12">
        <v>211256.66</v>
      </c>
      <c r="E151" s="12">
        <v>297279.36</v>
      </c>
      <c r="F151" s="12">
        <v>86022.7</v>
      </c>
      <c r="G151" s="13">
        <v>0.4071952098456919</v>
      </c>
    </row>
    <row r="152" spans="1:7">
      <c r="A152" s="10" t="s">
        <v>305</v>
      </c>
      <c r="B152" s="10" t="s">
        <v>67</v>
      </c>
      <c r="C152" s="10" t="s">
        <v>316</v>
      </c>
      <c r="D152" s="12">
        <v>16050.72</v>
      </c>
      <c r="E152" s="12">
        <v>-2100.61</v>
      </c>
      <c r="F152" s="12">
        <v>-18151.33</v>
      </c>
      <c r="G152" s="13">
        <v>-1.13087325677602</v>
      </c>
    </row>
    <row r="153" spans="1:7">
      <c r="A153" s="10" t="s">
        <v>305</v>
      </c>
      <c r="B153" s="10" t="s">
        <v>67</v>
      </c>
      <c r="C153" s="10" t="s">
        <v>319</v>
      </c>
      <c r="D153" s="12">
        <v>92324.36</v>
      </c>
      <c r="E153" s="12">
        <v>27872.69</v>
      </c>
      <c r="F153" s="12">
        <v>-64451.67</v>
      </c>
      <c r="G153" s="13">
        <v>-0.6981003713429479</v>
      </c>
    </row>
    <row r="154" spans="1:7">
      <c r="A154" s="10" t="s">
        <v>305</v>
      </c>
      <c r="B154" s="10" t="s">
        <v>67</v>
      </c>
      <c r="C154" s="10" t="s">
        <v>320</v>
      </c>
      <c r="D154" s="12">
        <v>32458.88</v>
      </c>
      <c r="E154" s="12">
        <v>15557.03</v>
      </c>
      <c r="F154" s="12">
        <v>-16901.85</v>
      </c>
      <c r="G154" s="13">
        <v>-0.520715748664156</v>
      </c>
    </row>
    <row r="155" spans="1:7">
      <c r="A155" s="10" t="s">
        <v>305</v>
      </c>
      <c r="B155" s="10" t="s">
        <v>67</v>
      </c>
      <c r="C155" s="10" t="s">
        <v>314</v>
      </c>
      <c r="D155" s="12">
        <v>383340.68</v>
      </c>
      <c r="E155" s="12">
        <v>196349.88</v>
      </c>
      <c r="F155" s="12">
        <v>-186990.8</v>
      </c>
      <c r="G155" s="13">
        <v>-0.4877927383026502</v>
      </c>
    </row>
    <row r="156" spans="1:7">
      <c r="A156" s="10" t="s">
        <v>305</v>
      </c>
      <c r="B156" s="10" t="s">
        <v>67</v>
      </c>
      <c r="C156" s="10" t="s">
        <v>318</v>
      </c>
      <c r="D156" s="12">
        <v>40203.38</v>
      </c>
      <c r="E156" s="12">
        <v>30104.98</v>
      </c>
      <c r="F156" s="12">
        <v>-10098.4</v>
      </c>
      <c r="G156" s="13">
        <v>-0.2511828607445443</v>
      </c>
    </row>
    <row r="157" spans="1:7">
      <c r="A157" s="10" t="s">
        <v>305</v>
      </c>
      <c r="B157" s="10" t="s">
        <v>67</v>
      </c>
      <c r="C157" s="10" t="s">
        <v>309</v>
      </c>
      <c r="D157" s="12">
        <v>63166.7</v>
      </c>
      <c r="E157" s="12">
        <v>86284.58</v>
      </c>
      <c r="F157" s="12">
        <v>23117.88</v>
      </c>
      <c r="G157" s="13">
        <v>0.3659820759989045</v>
      </c>
    </row>
    <row r="158" spans="1:7">
      <c r="A158" s="10" t="s">
        <v>305</v>
      </c>
      <c r="B158" s="10" t="s">
        <v>67</v>
      </c>
      <c r="C158" s="10" t="s">
        <v>321</v>
      </c>
      <c r="D158" s="12">
        <v>48117.67</v>
      </c>
      <c r="E158" s="12">
        <v>76803.14</v>
      </c>
      <c r="F158" s="12">
        <v>28685.47</v>
      </c>
      <c r="G158" s="13">
        <v>0.5961525152818081</v>
      </c>
    </row>
    <row r="159" spans="1:7">
      <c r="A159" s="10" t="s">
        <v>305</v>
      </c>
      <c r="B159" s="10" t="s">
        <v>67</v>
      </c>
      <c r="C159" s="10" t="s">
        <v>311</v>
      </c>
      <c r="D159" s="12">
        <v>160067.38</v>
      </c>
      <c r="E159" s="12">
        <v>205830.21</v>
      </c>
      <c r="F159" s="12">
        <v>45762.83</v>
      </c>
      <c r="G159" s="13">
        <v>0.2858972890041681</v>
      </c>
    </row>
    <row r="160" spans="1:7">
      <c r="A160" s="10" t="s">
        <v>305</v>
      </c>
      <c r="B160" s="10" t="s">
        <v>67</v>
      </c>
      <c r="C160" s="10" t="s">
        <v>310</v>
      </c>
      <c r="D160" s="12">
        <v>318550.22</v>
      </c>
      <c r="E160" s="12">
        <v>85507.34</v>
      </c>
      <c r="F160" s="12">
        <v>-233042.88</v>
      </c>
      <c r="G160" s="13">
        <v>-0.7315734391895884</v>
      </c>
    </row>
    <row r="161" spans="1:7">
      <c r="A161" s="10" t="s">
        <v>305</v>
      </c>
      <c r="B161" s="10" t="s">
        <v>67</v>
      </c>
      <c r="C161" s="10" t="s">
        <v>308</v>
      </c>
      <c r="D161" s="12">
        <v>2746.88</v>
      </c>
      <c r="E161" s="12">
        <v>2706.47</v>
      </c>
      <c r="F161" s="12">
        <v>-40.41</v>
      </c>
      <c r="G161" s="13">
        <v>-0.01471123602050326</v>
      </c>
    </row>
    <row r="162" spans="1:7">
      <c r="A162" s="10" t="s">
        <v>144</v>
      </c>
      <c r="B162" s="10" t="s">
        <v>34</v>
      </c>
      <c r="C162" s="10" t="s">
        <v>145</v>
      </c>
      <c r="D162" s="12">
        <v>359917.66</v>
      </c>
      <c r="E162" s="12">
        <v>306617.88</v>
      </c>
      <c r="F162" s="12">
        <v>-53299.78</v>
      </c>
      <c r="G162" s="13">
        <v>-0.1480888156474456</v>
      </c>
    </row>
    <row r="163" spans="1:7">
      <c r="A163" s="10" t="s">
        <v>144</v>
      </c>
      <c r="B163" s="10" t="s">
        <v>34</v>
      </c>
      <c r="C163" s="10" t="s">
        <v>147</v>
      </c>
      <c r="D163" s="12">
        <v>180452.07</v>
      </c>
      <c r="E163" s="12">
        <v>153940.45</v>
      </c>
      <c r="F163" s="12">
        <v>-26511.62</v>
      </c>
      <c r="G163" s="13">
        <v>-0.1469177937388028</v>
      </c>
    </row>
    <row r="164" spans="1:7">
      <c r="A164" s="10" t="s">
        <v>144</v>
      </c>
      <c r="B164" s="10" t="s">
        <v>34</v>
      </c>
      <c r="C164" s="10" t="s">
        <v>146</v>
      </c>
      <c r="D164" s="12">
        <v>341809.39</v>
      </c>
      <c r="E164" s="12">
        <v>633756.63</v>
      </c>
      <c r="F164" s="12">
        <v>291947.24</v>
      </c>
      <c r="G164" s="13">
        <v>0.8541229367630889</v>
      </c>
    </row>
    <row r="165" spans="1:7">
      <c r="A165" s="10" t="s">
        <v>144</v>
      </c>
      <c r="B165" s="10" t="s">
        <v>34</v>
      </c>
      <c r="C165" s="10" t="s">
        <v>148</v>
      </c>
      <c r="D165" s="12">
        <v>92966.88</v>
      </c>
      <c r="E165" s="12">
        <v>104528.22</v>
      </c>
      <c r="F165" s="12">
        <v>11561.34</v>
      </c>
      <c r="G165" s="13">
        <v>0.1243597719962206</v>
      </c>
    </row>
    <row r="166" spans="1:7">
      <c r="A166" s="10" t="s">
        <v>144</v>
      </c>
      <c r="B166" s="10" t="s">
        <v>34</v>
      </c>
      <c r="C166" s="10" t="s">
        <v>149</v>
      </c>
      <c r="D166" s="12">
        <v>66172.67</v>
      </c>
      <c r="E166" s="12">
        <v>77046.89999999999</v>
      </c>
      <c r="F166" s="12">
        <v>10874.23</v>
      </c>
      <c r="G166" s="13">
        <v>0.1643311354974795</v>
      </c>
    </row>
    <row r="167" spans="1:7">
      <c r="A167" s="10" t="s">
        <v>144</v>
      </c>
      <c r="B167" s="10" t="s">
        <v>34</v>
      </c>
      <c r="C167" s="10" t="s">
        <v>150</v>
      </c>
      <c r="D167" s="12">
        <v>92665.94</v>
      </c>
      <c r="E167" s="12">
        <v>11093.12</v>
      </c>
      <c r="F167" s="12">
        <v>-81572.82000000001</v>
      </c>
      <c r="G167" s="13">
        <v>-0.8802891332025553</v>
      </c>
    </row>
    <row r="168" spans="1:7">
      <c r="A168" s="10" t="s">
        <v>144</v>
      </c>
      <c r="B168" s="10" t="s">
        <v>34</v>
      </c>
      <c r="C168" s="10" t="s">
        <v>151</v>
      </c>
      <c r="D168" s="12">
        <v>2579.12</v>
      </c>
      <c r="E168" s="12">
        <v>5737.22</v>
      </c>
      <c r="F168" s="12">
        <v>3158.1</v>
      </c>
      <c r="G168" s="13">
        <v>1.224487422066441</v>
      </c>
    </row>
    <row r="169" spans="1:7">
      <c r="A169" s="10" t="s">
        <v>159</v>
      </c>
      <c r="B169" s="10" t="s">
        <v>34</v>
      </c>
      <c r="C169" s="10" t="s">
        <v>160</v>
      </c>
      <c r="D169" s="12">
        <v>32016.31</v>
      </c>
      <c r="E169" s="12">
        <v>30085.96</v>
      </c>
      <c r="F169" s="12">
        <v>-1930.35</v>
      </c>
      <c r="G169" s="13">
        <v>-0.06029270706086991</v>
      </c>
    </row>
    <row r="170" spans="1:7">
      <c r="A170" s="10" t="s">
        <v>152</v>
      </c>
      <c r="B170" s="10" t="s">
        <v>34</v>
      </c>
      <c r="C170" s="10" t="s">
        <v>154</v>
      </c>
      <c r="D170" s="12">
        <v>19440.53</v>
      </c>
      <c r="E170" s="12">
        <v>60819.26</v>
      </c>
      <c r="F170" s="12">
        <v>41378.73</v>
      </c>
      <c r="G170" s="13">
        <v>2.128477464348966</v>
      </c>
    </row>
    <row r="171" spans="1:7">
      <c r="A171" s="10" t="s">
        <v>152</v>
      </c>
      <c r="B171" s="10" t="s">
        <v>34</v>
      </c>
      <c r="C171" s="10" t="s">
        <v>156</v>
      </c>
      <c r="D171" s="12">
        <v>92.48999999999999</v>
      </c>
      <c r="E171" s="12">
        <v>23897.72</v>
      </c>
      <c r="F171" s="12">
        <v>23805.23</v>
      </c>
      <c r="G171" s="13">
        <v>257.3816628824738</v>
      </c>
    </row>
    <row r="172" spans="1:7">
      <c r="A172" s="10" t="s">
        <v>152</v>
      </c>
      <c r="B172" s="10" t="s">
        <v>34</v>
      </c>
      <c r="C172" s="10" t="s">
        <v>158</v>
      </c>
      <c r="D172" s="12">
        <v>0</v>
      </c>
      <c r="E172" s="12">
        <v>152.12</v>
      </c>
      <c r="F172" s="12">
        <v>152.12</v>
      </c>
      <c r="G172" s="13"/>
    </row>
    <row r="173" spans="1:7">
      <c r="A173" s="10" t="s">
        <v>152</v>
      </c>
      <c r="B173" s="10" t="s">
        <v>34</v>
      </c>
      <c r="C173" s="10" t="s">
        <v>153</v>
      </c>
      <c r="D173" s="12">
        <v>26924.56</v>
      </c>
      <c r="E173" s="12">
        <v>2896.12</v>
      </c>
      <c r="F173" s="12">
        <v>-24028.44</v>
      </c>
      <c r="G173" s="13">
        <v>-0.8924357538247608</v>
      </c>
    </row>
    <row r="174" spans="1:7">
      <c r="A174" s="10" t="s">
        <v>152</v>
      </c>
      <c r="B174" s="10" t="s">
        <v>34</v>
      </c>
      <c r="C174" s="10" t="s">
        <v>155</v>
      </c>
      <c r="D174" s="12">
        <v>28145.03</v>
      </c>
      <c r="E174" s="12">
        <v>58903.61</v>
      </c>
      <c r="F174" s="12">
        <v>30758.58</v>
      </c>
      <c r="G174" s="13">
        <v>1.092860089330159</v>
      </c>
    </row>
    <row r="175" spans="1:7">
      <c r="A175" s="10" t="s">
        <v>152</v>
      </c>
      <c r="B175" s="10" t="s">
        <v>34</v>
      </c>
      <c r="C175" s="10" t="s">
        <v>157</v>
      </c>
      <c r="D175" s="12">
        <v>28.42</v>
      </c>
      <c r="E175" s="12">
        <v>26943.31</v>
      </c>
      <c r="F175" s="12">
        <v>26914.89</v>
      </c>
      <c r="G175" s="13">
        <v>947.0404644616468</v>
      </c>
    </row>
    <row r="176" spans="1:7">
      <c r="A176" s="10" t="s">
        <v>181</v>
      </c>
      <c r="B176" s="10" t="s">
        <v>34</v>
      </c>
      <c r="C176" s="10" t="s">
        <v>186</v>
      </c>
      <c r="D176" s="12">
        <v>109390.15</v>
      </c>
      <c r="E176" s="12">
        <v>92739.25999999999</v>
      </c>
      <c r="F176" s="12">
        <v>-16650.89</v>
      </c>
      <c r="G176" s="13">
        <v>-0.1522156245329218</v>
      </c>
    </row>
    <row r="177" spans="1:7">
      <c r="A177" s="10" t="s">
        <v>181</v>
      </c>
      <c r="B177" s="10" t="s">
        <v>34</v>
      </c>
      <c r="C177" s="10" t="s">
        <v>195</v>
      </c>
      <c r="D177" s="12">
        <v>20245.51</v>
      </c>
      <c r="E177" s="12">
        <v>18779.13</v>
      </c>
      <c r="F177" s="12">
        <v>-1466.38</v>
      </c>
      <c r="G177" s="13">
        <v>-0.07242988692307578</v>
      </c>
    </row>
    <row r="178" spans="1:7">
      <c r="A178" s="10" t="s">
        <v>181</v>
      </c>
      <c r="B178" s="10" t="s">
        <v>34</v>
      </c>
      <c r="C178" s="10" t="s">
        <v>194</v>
      </c>
      <c r="D178" s="12">
        <v>88131.36</v>
      </c>
      <c r="E178" s="12">
        <v>58255.43</v>
      </c>
      <c r="F178" s="12">
        <v>-29875.93</v>
      </c>
      <c r="G178" s="13">
        <v>-0.3389931801801311</v>
      </c>
    </row>
    <row r="179" spans="1:7">
      <c r="A179" s="10" t="s">
        <v>181</v>
      </c>
      <c r="B179" s="10" t="s">
        <v>34</v>
      </c>
      <c r="C179" s="10" t="s">
        <v>182</v>
      </c>
      <c r="D179" s="12">
        <v>140773.08</v>
      </c>
      <c r="E179" s="12">
        <v>66932.89999999999</v>
      </c>
      <c r="F179" s="12">
        <v>-73840.17999999999</v>
      </c>
      <c r="G179" s="13">
        <v>-0.5245333837975272</v>
      </c>
    </row>
    <row r="180" spans="1:7">
      <c r="A180" s="10" t="s">
        <v>181</v>
      </c>
      <c r="B180" s="10" t="s">
        <v>34</v>
      </c>
      <c r="C180" s="10" t="s">
        <v>184</v>
      </c>
      <c r="D180" s="12">
        <v>149286.33</v>
      </c>
      <c r="E180" s="12">
        <v>111101.49</v>
      </c>
      <c r="F180" s="12">
        <v>-38184.84</v>
      </c>
      <c r="G180" s="13">
        <v>-0.255782562274791</v>
      </c>
    </row>
    <row r="181" spans="1:7">
      <c r="A181" s="10" t="s">
        <v>181</v>
      </c>
      <c r="B181" s="10" t="s">
        <v>34</v>
      </c>
      <c r="C181" s="10" t="s">
        <v>183</v>
      </c>
      <c r="D181" s="12">
        <v>206028.25</v>
      </c>
      <c r="E181" s="12">
        <v>244559.94</v>
      </c>
      <c r="F181" s="12">
        <v>38531.69</v>
      </c>
      <c r="G181" s="13">
        <v>0.1870213914839348</v>
      </c>
    </row>
    <row r="182" spans="1:7">
      <c r="A182" s="10" t="s">
        <v>181</v>
      </c>
      <c r="B182" s="10" t="s">
        <v>34</v>
      </c>
      <c r="C182" s="10" t="s">
        <v>187</v>
      </c>
      <c r="D182" s="12">
        <v>67504.08</v>
      </c>
      <c r="E182" s="12">
        <v>44112.8</v>
      </c>
      <c r="F182" s="12">
        <v>-23391.28</v>
      </c>
      <c r="G182" s="13">
        <v>-0.346516536481943</v>
      </c>
    </row>
    <row r="183" spans="1:7">
      <c r="A183" s="10" t="s">
        <v>181</v>
      </c>
      <c r="B183" s="10" t="s">
        <v>34</v>
      </c>
      <c r="C183" s="10" t="s">
        <v>188</v>
      </c>
      <c r="D183" s="12">
        <v>146063.9</v>
      </c>
      <c r="E183" s="12">
        <v>131814.99</v>
      </c>
      <c r="F183" s="12">
        <v>-14248.91</v>
      </c>
      <c r="G183" s="13">
        <v>-0.09755257801551238</v>
      </c>
    </row>
    <row r="184" spans="1:7">
      <c r="A184" s="10" t="s">
        <v>181</v>
      </c>
      <c r="B184" s="10" t="s">
        <v>34</v>
      </c>
      <c r="C184" s="10" t="s">
        <v>191</v>
      </c>
      <c r="D184" s="12">
        <v>93852.19</v>
      </c>
      <c r="E184" s="12">
        <v>67870.72</v>
      </c>
      <c r="F184" s="12">
        <v>-25981.47</v>
      </c>
      <c r="G184" s="13">
        <v>-0.2768339236409934</v>
      </c>
    </row>
    <row r="185" spans="1:7">
      <c r="A185" s="10" t="s">
        <v>181</v>
      </c>
      <c r="B185" s="10" t="s">
        <v>34</v>
      </c>
      <c r="C185" s="10" t="s">
        <v>196</v>
      </c>
      <c r="D185" s="12">
        <v>57078.99</v>
      </c>
      <c r="E185" s="12">
        <v>76922.75999999999</v>
      </c>
      <c r="F185" s="12">
        <v>19843.77</v>
      </c>
      <c r="G185" s="13">
        <v>0.3476545397877573</v>
      </c>
    </row>
    <row r="186" spans="1:7">
      <c r="A186" s="10" t="s">
        <v>181</v>
      </c>
      <c r="B186" s="10" t="s">
        <v>34</v>
      </c>
      <c r="C186" s="10" t="s">
        <v>190</v>
      </c>
      <c r="D186" s="12">
        <v>82667.28999999999</v>
      </c>
      <c r="E186" s="12">
        <v>54721.63</v>
      </c>
      <c r="F186" s="12">
        <v>-27945.66</v>
      </c>
      <c r="G186" s="13">
        <v>-0.3380497897052148</v>
      </c>
    </row>
    <row r="187" spans="1:7">
      <c r="A187" s="10" t="s">
        <v>181</v>
      </c>
      <c r="B187" s="10" t="s">
        <v>34</v>
      </c>
      <c r="C187" s="10" t="s">
        <v>185</v>
      </c>
      <c r="D187" s="12">
        <v>1479.97</v>
      </c>
      <c r="E187" s="12">
        <v>5473.28</v>
      </c>
      <c r="F187" s="12">
        <v>3993.31</v>
      </c>
      <c r="G187" s="13">
        <v>2.698237126428239</v>
      </c>
    </row>
    <row r="188" spans="1:7">
      <c r="A188" s="10" t="s">
        <v>181</v>
      </c>
      <c r="B188" s="10" t="s">
        <v>34</v>
      </c>
      <c r="C188" s="10" t="s">
        <v>197</v>
      </c>
      <c r="D188" s="12">
        <v>154069.66</v>
      </c>
      <c r="E188" s="12">
        <v>176490.13</v>
      </c>
      <c r="F188" s="12">
        <v>22420.47</v>
      </c>
      <c r="G188" s="13">
        <v>0.1455216426128285</v>
      </c>
    </row>
    <row r="189" spans="1:7">
      <c r="A189" s="10" t="s">
        <v>181</v>
      </c>
      <c r="B189" s="10" t="s">
        <v>34</v>
      </c>
      <c r="C189" s="10" t="s">
        <v>192</v>
      </c>
      <c r="D189" s="12">
        <v>61358.61</v>
      </c>
      <c r="E189" s="12">
        <v>54351.25</v>
      </c>
      <c r="F189" s="12">
        <v>-7007.36</v>
      </c>
      <c r="G189" s="13">
        <v>-0.1142033693396901</v>
      </c>
    </row>
    <row r="190" spans="1:7">
      <c r="A190" s="10" t="s">
        <v>181</v>
      </c>
      <c r="B190" s="10" t="s">
        <v>34</v>
      </c>
      <c r="C190" s="10" t="s">
        <v>189</v>
      </c>
      <c r="D190" s="12">
        <v>133805.73</v>
      </c>
      <c r="E190" s="12">
        <v>127664.07</v>
      </c>
      <c r="F190" s="12">
        <v>-6141.66</v>
      </c>
      <c r="G190" s="13">
        <v>-0.04589982805669084</v>
      </c>
    </row>
    <row r="191" spans="1:7">
      <c r="A191" s="10" t="s">
        <v>181</v>
      </c>
      <c r="B191" s="10" t="s">
        <v>34</v>
      </c>
      <c r="C191" s="10" t="s">
        <v>193</v>
      </c>
      <c r="D191" s="12">
        <v>13023.73</v>
      </c>
      <c r="E191" s="12">
        <v>16225.84</v>
      </c>
      <c r="F191" s="12">
        <v>3202.11</v>
      </c>
      <c r="G191" s="13">
        <v>0.2458673513655458</v>
      </c>
    </row>
    <row r="192" spans="1:7">
      <c r="A192" s="10" t="s">
        <v>198</v>
      </c>
      <c r="B192" s="10" t="s">
        <v>34</v>
      </c>
      <c r="C192" s="10" t="s">
        <v>201</v>
      </c>
      <c r="D192" s="12">
        <v>0</v>
      </c>
      <c r="E192" s="12">
        <v>0</v>
      </c>
      <c r="F192" s="12">
        <v>0</v>
      </c>
      <c r="G192" s="13"/>
    </row>
    <row r="193" spans="1:7">
      <c r="A193" s="10" t="s">
        <v>198</v>
      </c>
      <c r="B193" s="10" t="s">
        <v>34</v>
      </c>
      <c r="C193" s="10" t="s">
        <v>199</v>
      </c>
      <c r="D193" s="12">
        <v>132.94</v>
      </c>
      <c r="E193" s="12">
        <v>1700.75</v>
      </c>
      <c r="F193" s="12">
        <v>1567.81</v>
      </c>
      <c r="G193" s="13">
        <v>11.79336542801264</v>
      </c>
    </row>
    <row r="194" spans="1:7">
      <c r="A194" s="10" t="s">
        <v>208</v>
      </c>
      <c r="B194" s="10" t="s">
        <v>55</v>
      </c>
      <c r="C194" s="10" t="s">
        <v>211</v>
      </c>
      <c r="D194" s="12">
        <v>117179.81</v>
      </c>
      <c r="E194" s="12">
        <v>72922.67</v>
      </c>
      <c r="F194" s="12">
        <v>-44257.14</v>
      </c>
      <c r="G194" s="13">
        <v>-0.3776857122400181</v>
      </c>
    </row>
    <row r="195" spans="1:7">
      <c r="A195" s="10" t="s">
        <v>208</v>
      </c>
      <c r="B195" s="10" t="s">
        <v>55</v>
      </c>
      <c r="C195" s="10" t="s">
        <v>212</v>
      </c>
      <c r="D195" s="12">
        <v>108910.4</v>
      </c>
      <c r="E195" s="12">
        <v>100716.86</v>
      </c>
      <c r="F195" s="12">
        <v>-8193.540000000001</v>
      </c>
      <c r="G195" s="13">
        <v>-0.0752319337730832</v>
      </c>
    </row>
    <row r="196" spans="1:7">
      <c r="A196" s="10" t="s">
        <v>202</v>
      </c>
      <c r="B196" s="10" t="s">
        <v>34</v>
      </c>
      <c r="C196" s="10" t="s">
        <v>205</v>
      </c>
      <c r="D196" s="12">
        <v>20585.94</v>
      </c>
      <c r="E196" s="12">
        <v>49555.43</v>
      </c>
      <c r="F196" s="12">
        <v>28969.49</v>
      </c>
      <c r="G196" s="13">
        <v>1.407246402156035</v>
      </c>
    </row>
    <row r="197" spans="1:7">
      <c r="A197" s="10" t="s">
        <v>202</v>
      </c>
      <c r="B197" s="10" t="s">
        <v>34</v>
      </c>
      <c r="C197" s="10" t="s">
        <v>203</v>
      </c>
      <c r="D197" s="12">
        <v>77312.74000000001</v>
      </c>
      <c r="E197" s="12">
        <v>144215.88</v>
      </c>
      <c r="F197" s="12">
        <v>66903.14</v>
      </c>
      <c r="G197" s="13">
        <v>0.8653572490122585</v>
      </c>
    </row>
    <row r="198" spans="1:7">
      <c r="A198" s="10" t="s">
        <v>229</v>
      </c>
      <c r="B198" s="10" t="s">
        <v>67</v>
      </c>
      <c r="C198" s="10" t="s">
        <v>239</v>
      </c>
      <c r="D198" s="12">
        <v>287357.26</v>
      </c>
      <c r="E198" s="12">
        <v>142008.35</v>
      </c>
      <c r="F198" s="12">
        <v>-145348.91</v>
      </c>
      <c r="G198" s="13">
        <v>-0.5058125554231691</v>
      </c>
    </row>
    <row r="199" spans="1:7">
      <c r="A199" s="10" t="s">
        <v>229</v>
      </c>
      <c r="B199" s="10" t="s">
        <v>67</v>
      </c>
      <c r="C199" s="10" t="s">
        <v>245</v>
      </c>
      <c r="D199" s="12">
        <v>75903.34</v>
      </c>
      <c r="E199" s="12">
        <v>60772.04</v>
      </c>
      <c r="F199" s="12">
        <v>-15131.3</v>
      </c>
      <c r="G199" s="13">
        <v>-0.1993495938386901</v>
      </c>
    </row>
    <row r="200" spans="1:7">
      <c r="A200" s="10" t="s">
        <v>229</v>
      </c>
      <c r="B200" s="10" t="s">
        <v>67</v>
      </c>
      <c r="C200" s="10" t="s">
        <v>246</v>
      </c>
      <c r="D200" s="12">
        <v>-27058.42</v>
      </c>
      <c r="E200" s="12">
        <v>28247.93</v>
      </c>
      <c r="F200" s="12">
        <v>55306.35</v>
      </c>
      <c r="G200" s="13">
        <v>2.043960807763351</v>
      </c>
    </row>
    <row r="201" spans="1:7">
      <c r="A201" s="10" t="s">
        <v>229</v>
      </c>
      <c r="B201" s="10" t="s">
        <v>67</v>
      </c>
      <c r="C201" s="10" t="s">
        <v>232</v>
      </c>
      <c r="D201" s="12">
        <v>8066.54</v>
      </c>
      <c r="E201" s="12">
        <v>4221.65</v>
      </c>
      <c r="F201" s="12">
        <v>-3844.89</v>
      </c>
      <c r="G201" s="13">
        <v>-0.4766467407339454</v>
      </c>
    </row>
    <row r="202" spans="1:7">
      <c r="A202" s="10" t="s">
        <v>249</v>
      </c>
      <c r="B202" s="10" t="s">
        <v>55</v>
      </c>
      <c r="C202" s="10" t="s">
        <v>250</v>
      </c>
      <c r="D202" s="12">
        <v>26741.76</v>
      </c>
      <c r="E202" s="12">
        <v>55617.36</v>
      </c>
      <c r="F202" s="12">
        <v>28875.6</v>
      </c>
      <c r="G202" s="13">
        <v>1.079794299253303</v>
      </c>
    </row>
    <row r="203" spans="1:7">
      <c r="A203" s="10" t="s">
        <v>251</v>
      </c>
      <c r="B203" s="10" t="s">
        <v>34</v>
      </c>
      <c r="C203" s="10" t="s">
        <v>254</v>
      </c>
      <c r="D203" s="12">
        <v>34664.11</v>
      </c>
      <c r="E203" s="12">
        <v>16905.61</v>
      </c>
      <c r="F203" s="12">
        <v>-17758.5</v>
      </c>
      <c r="G203" s="13">
        <v>-0.5123022053645687</v>
      </c>
    </row>
    <row r="204" spans="1:7">
      <c r="A204" s="10" t="s">
        <v>251</v>
      </c>
      <c r="B204" s="10" t="s">
        <v>34</v>
      </c>
      <c r="C204" s="10" t="s">
        <v>253</v>
      </c>
      <c r="D204" s="12">
        <v>24568.45</v>
      </c>
      <c r="E204" s="12">
        <v>26719.65</v>
      </c>
      <c r="F204" s="12">
        <v>2151.2</v>
      </c>
      <c r="G204" s="13">
        <v>0.08755945124743318</v>
      </c>
    </row>
    <row r="205" spans="1:7">
      <c r="A205" s="10" t="s">
        <v>251</v>
      </c>
      <c r="B205" s="10" t="s">
        <v>34</v>
      </c>
      <c r="C205" s="10" t="s">
        <v>255</v>
      </c>
      <c r="D205" s="12">
        <v>5697.97</v>
      </c>
      <c r="E205" s="12">
        <v>2281.78</v>
      </c>
      <c r="F205" s="12">
        <v>-3416.19</v>
      </c>
      <c r="G205" s="13">
        <v>-0.5995451011500587</v>
      </c>
    </row>
    <row r="206" spans="1:7">
      <c r="A206" s="10" t="s">
        <v>251</v>
      </c>
      <c r="B206" s="10" t="s">
        <v>55</v>
      </c>
      <c r="C206" s="10" t="s">
        <v>252</v>
      </c>
      <c r="D206" s="12">
        <v>58.34</v>
      </c>
      <c r="E206" s="12">
        <v>58.59</v>
      </c>
      <c r="F206" s="12">
        <v>0.25</v>
      </c>
      <c r="G206" s="13">
        <v>0.004285224545766198</v>
      </c>
    </row>
    <row r="207" spans="1:7">
      <c r="A207" s="10" t="s">
        <v>256</v>
      </c>
      <c r="B207" s="10" t="s">
        <v>67</v>
      </c>
      <c r="C207" s="10" t="s">
        <v>257</v>
      </c>
      <c r="D207" s="12">
        <v>80118.62</v>
      </c>
      <c r="E207" s="12">
        <v>34086.97</v>
      </c>
      <c r="F207" s="12">
        <v>-46031.65</v>
      </c>
      <c r="G207" s="13">
        <v>-0.5745437202987271</v>
      </c>
    </row>
    <row r="208" spans="1:7">
      <c r="A208" s="10" t="s">
        <v>256</v>
      </c>
      <c r="B208" s="10" t="s">
        <v>67</v>
      </c>
      <c r="C208" s="10" t="s">
        <v>258</v>
      </c>
      <c r="D208" s="12">
        <v>30480.24</v>
      </c>
      <c r="E208" s="12">
        <v>6596.76</v>
      </c>
      <c r="F208" s="12">
        <v>-23883.48</v>
      </c>
      <c r="G208" s="13">
        <v>-0.783572570294722</v>
      </c>
    </row>
    <row r="209" spans="1:7">
      <c r="A209" s="10" t="s">
        <v>256</v>
      </c>
      <c r="B209" s="10" t="s">
        <v>67</v>
      </c>
      <c r="C209" s="10" t="s">
        <v>260</v>
      </c>
      <c r="D209" s="12">
        <v>863.48</v>
      </c>
      <c r="E209" s="12">
        <v>1881.97</v>
      </c>
      <c r="F209" s="12">
        <v>1018.49</v>
      </c>
      <c r="G209" s="13">
        <v>1.179517765321721</v>
      </c>
    </row>
    <row r="210" spans="1:7">
      <c r="A210" s="10" t="s">
        <v>284</v>
      </c>
      <c r="B210" s="10" t="s">
        <v>67</v>
      </c>
      <c r="C210" s="10" t="s">
        <v>287</v>
      </c>
      <c r="D210" s="12">
        <v>56280.88</v>
      </c>
      <c r="E210" s="12">
        <v>21703.73</v>
      </c>
      <c r="F210" s="12">
        <v>-34577.15</v>
      </c>
      <c r="G210" s="13">
        <v>-0.6143676147210207</v>
      </c>
    </row>
    <row r="211" spans="1:7">
      <c r="A211" s="10" t="s">
        <v>284</v>
      </c>
      <c r="B211" s="10" t="s">
        <v>67</v>
      </c>
      <c r="C211" s="10" t="s">
        <v>288</v>
      </c>
      <c r="D211" s="12">
        <v>3321.49</v>
      </c>
      <c r="E211" s="12">
        <v>762.8</v>
      </c>
      <c r="F211" s="12">
        <v>-2558.69</v>
      </c>
      <c r="G211" s="13">
        <v>-0.7703440323469286</v>
      </c>
    </row>
    <row r="212" spans="1:7">
      <c r="A212" s="10" t="s">
        <v>284</v>
      </c>
      <c r="B212" s="10" t="s">
        <v>67</v>
      </c>
      <c r="C212" s="10" t="s">
        <v>285</v>
      </c>
      <c r="D212" s="12">
        <v>94958.03</v>
      </c>
      <c r="E212" s="12">
        <v>46141.33</v>
      </c>
      <c r="F212" s="12">
        <v>-48816.7</v>
      </c>
      <c r="G212" s="13">
        <v>-0.5140871182774116</v>
      </c>
    </row>
    <row r="213" spans="1:7">
      <c r="A213" s="10" t="s">
        <v>266</v>
      </c>
      <c r="B213" s="10" t="s">
        <v>34</v>
      </c>
      <c r="C213" s="10" t="s">
        <v>272</v>
      </c>
      <c r="D213" s="12">
        <v>7939.04</v>
      </c>
      <c r="E213" s="12">
        <v>7542.74</v>
      </c>
      <c r="F213" s="12">
        <v>-396.3</v>
      </c>
      <c r="G213" s="13">
        <v>-0.04991787420141478</v>
      </c>
    </row>
    <row r="214" spans="1:7">
      <c r="A214" s="10" t="s">
        <v>266</v>
      </c>
      <c r="B214" s="10" t="s">
        <v>34</v>
      </c>
      <c r="C214" s="10" t="s">
        <v>267</v>
      </c>
      <c r="D214" s="12">
        <v>188133.75</v>
      </c>
      <c r="E214" s="12">
        <v>214517.44</v>
      </c>
      <c r="F214" s="12">
        <v>26383.69</v>
      </c>
      <c r="G214" s="13">
        <v>0.140239005494761</v>
      </c>
    </row>
    <row r="215" spans="1:7">
      <c r="A215" s="10" t="s">
        <v>266</v>
      </c>
      <c r="B215" s="10" t="s">
        <v>34</v>
      </c>
      <c r="C215" s="10" t="s">
        <v>270</v>
      </c>
      <c r="D215" s="12">
        <v>144966.12</v>
      </c>
      <c r="E215" s="12">
        <v>448730.36</v>
      </c>
      <c r="F215" s="12">
        <v>303764.24</v>
      </c>
      <c r="G215" s="13">
        <v>2.095415397749488</v>
      </c>
    </row>
    <row r="216" spans="1:7">
      <c r="A216" s="10" t="s">
        <v>266</v>
      </c>
      <c r="B216" s="10" t="s">
        <v>34</v>
      </c>
      <c r="C216" s="10" t="s">
        <v>271</v>
      </c>
      <c r="D216" s="12">
        <v>228175.91</v>
      </c>
      <c r="E216" s="12">
        <v>230750.89</v>
      </c>
      <c r="F216" s="12">
        <v>2574.98</v>
      </c>
      <c r="G216" s="13">
        <v>0.01128506510612799</v>
      </c>
    </row>
    <row r="217" spans="1:7">
      <c r="A217" s="10" t="s">
        <v>266</v>
      </c>
      <c r="B217" s="10" t="s">
        <v>34</v>
      </c>
      <c r="C217" s="10" t="s">
        <v>268</v>
      </c>
      <c r="D217" s="12">
        <v>264611.63</v>
      </c>
      <c r="E217" s="12">
        <v>262882.14</v>
      </c>
      <c r="F217" s="12">
        <v>-1729.49</v>
      </c>
      <c r="G217" s="13">
        <v>-0.006535956110470277</v>
      </c>
    </row>
    <row r="218" spans="1:7">
      <c r="A218" s="10" t="s">
        <v>208</v>
      </c>
      <c r="B218" s="10" t="s">
        <v>55</v>
      </c>
      <c r="C218" s="10" t="s">
        <v>210</v>
      </c>
      <c r="D218" s="12">
        <v>29431.35</v>
      </c>
      <c r="E218" s="12">
        <v>15895.17</v>
      </c>
      <c r="F218" s="12">
        <v>-13536.18</v>
      </c>
      <c r="G218" s="13">
        <v>-0.4599238567038209</v>
      </c>
    </row>
    <row r="219" spans="1:7">
      <c r="A219" s="10" t="s">
        <v>208</v>
      </c>
      <c r="B219" s="10" t="s">
        <v>55</v>
      </c>
      <c r="C219" s="10" t="s">
        <v>209</v>
      </c>
      <c r="D219" s="12">
        <v>16739.01</v>
      </c>
      <c r="E219" s="12">
        <v>38187.06</v>
      </c>
      <c r="F219" s="12">
        <v>21448.05</v>
      </c>
      <c r="G219" s="13">
        <v>1.2813212967792</v>
      </c>
    </row>
    <row r="220" spans="1:7">
      <c r="A220" s="10" t="s">
        <v>213</v>
      </c>
      <c r="B220" s="10" t="s">
        <v>67</v>
      </c>
      <c r="C220" s="10" t="s">
        <v>225</v>
      </c>
      <c r="D220" s="12">
        <v>8739.719999999999</v>
      </c>
      <c r="E220" s="12">
        <v>7413.8</v>
      </c>
      <c r="F220" s="12">
        <v>-1325.92</v>
      </c>
      <c r="G220" s="13">
        <v>-0.1517119541587145</v>
      </c>
    </row>
    <row r="221" spans="1:7">
      <c r="A221" s="10" t="s">
        <v>296</v>
      </c>
      <c r="B221" s="10" t="s">
        <v>67</v>
      </c>
      <c r="C221" s="10" t="s">
        <v>297</v>
      </c>
      <c r="D221" s="12">
        <v>80463.85000000001</v>
      </c>
      <c r="E221" s="12">
        <v>98583.53</v>
      </c>
      <c r="F221" s="12">
        <v>18119.68</v>
      </c>
      <c r="G221" s="13">
        <v>0.2251903183852128</v>
      </c>
    </row>
    <row r="222" spans="1:7">
      <c r="A222" s="10" t="s">
        <v>296</v>
      </c>
      <c r="B222" s="10" t="s">
        <v>67</v>
      </c>
      <c r="C222" s="10" t="s">
        <v>299</v>
      </c>
      <c r="D222" s="12">
        <v>45681.84</v>
      </c>
      <c r="E222" s="12">
        <v>18568.03</v>
      </c>
      <c r="F222" s="12">
        <v>-27113.81</v>
      </c>
      <c r="G222" s="13">
        <v>-0.5935358558236709</v>
      </c>
    </row>
    <row r="223" spans="1:7">
      <c r="A223" s="10" t="s">
        <v>322</v>
      </c>
      <c r="B223" s="10" t="s">
        <v>55</v>
      </c>
      <c r="C223" s="10" t="s">
        <v>395</v>
      </c>
      <c r="D223" s="12">
        <v>24492.16</v>
      </c>
      <c r="E223" s="12">
        <v>20175.33</v>
      </c>
      <c r="F223" s="12">
        <v>-4316.83</v>
      </c>
      <c r="G223" s="13">
        <v>-0.1762535439912201</v>
      </c>
    </row>
    <row r="224" spans="1:7">
      <c r="A224" s="10" t="s">
        <v>322</v>
      </c>
      <c r="B224" s="10" t="s">
        <v>55</v>
      </c>
      <c r="C224" s="10" t="s">
        <v>368</v>
      </c>
      <c r="D224" s="12">
        <v>36800.32</v>
      </c>
      <c r="E224" s="12">
        <v>139562.44</v>
      </c>
      <c r="F224" s="12">
        <v>102762.12</v>
      </c>
      <c r="G224" s="13">
        <v>2.792424631090165</v>
      </c>
    </row>
    <row r="225" spans="1:7">
      <c r="A225" s="10" t="s">
        <v>322</v>
      </c>
      <c r="B225" s="10" t="s">
        <v>55</v>
      </c>
      <c r="C225" s="10" t="s">
        <v>330</v>
      </c>
      <c r="D225" s="12">
        <v>111637.26</v>
      </c>
      <c r="E225" s="12">
        <v>169373.84</v>
      </c>
      <c r="F225" s="12">
        <v>57736.58</v>
      </c>
      <c r="G225" s="13">
        <v>0.5171801959310001</v>
      </c>
    </row>
    <row r="226" spans="1:7">
      <c r="A226" s="10" t="s">
        <v>322</v>
      </c>
      <c r="B226" s="10" t="s">
        <v>55</v>
      </c>
      <c r="C226" s="10" t="s">
        <v>388</v>
      </c>
      <c r="D226" s="12">
        <v>51156.81</v>
      </c>
      <c r="E226" s="12">
        <v>188371.28</v>
      </c>
      <c r="F226" s="12">
        <v>137214.47</v>
      </c>
      <c r="G226" s="13">
        <v>2.682232727177476</v>
      </c>
    </row>
    <row r="227" spans="1:7">
      <c r="A227" s="10" t="s">
        <v>322</v>
      </c>
      <c r="B227" s="10" t="s">
        <v>55</v>
      </c>
      <c r="C227" s="10" t="s">
        <v>398</v>
      </c>
      <c r="D227" s="12">
        <v>224724.33</v>
      </c>
      <c r="E227" s="12">
        <v>45318.49</v>
      </c>
      <c r="F227" s="12">
        <v>-179405.84</v>
      </c>
      <c r="G227" s="13">
        <v>-0.7983374118859315</v>
      </c>
    </row>
    <row r="228" spans="1:7">
      <c r="A228" s="10" t="s">
        <v>322</v>
      </c>
      <c r="B228" s="10" t="s">
        <v>55</v>
      </c>
      <c r="C228" s="10" t="s">
        <v>348</v>
      </c>
      <c r="D228" s="12">
        <v>81049.69</v>
      </c>
      <c r="E228" s="12">
        <v>144641.55</v>
      </c>
      <c r="F228" s="12">
        <v>63591.86</v>
      </c>
      <c r="G228" s="13">
        <v>0.7846033710924742</v>
      </c>
    </row>
    <row r="229" spans="1:7">
      <c r="A229" s="10" t="s">
        <v>322</v>
      </c>
      <c r="B229" s="10" t="s">
        <v>55</v>
      </c>
      <c r="C229" s="10" t="s">
        <v>357</v>
      </c>
      <c r="D229" s="12">
        <v>48774.31</v>
      </c>
      <c r="E229" s="12">
        <v>89976.42</v>
      </c>
      <c r="F229" s="12">
        <v>41202.11</v>
      </c>
      <c r="G229" s="13">
        <v>0.8447502383939414</v>
      </c>
    </row>
    <row r="230" spans="1:7">
      <c r="A230" s="10" t="s">
        <v>322</v>
      </c>
      <c r="B230" s="10" t="s">
        <v>55</v>
      </c>
      <c r="C230" s="10" t="s">
        <v>410</v>
      </c>
      <c r="D230" s="12">
        <v>40490.36</v>
      </c>
      <c r="E230" s="12">
        <v>2143.88</v>
      </c>
      <c r="F230" s="12">
        <v>-38346.48</v>
      </c>
      <c r="G230" s="13">
        <v>-0.9470520884477195</v>
      </c>
    </row>
    <row r="231" spans="1:7">
      <c r="A231" s="10" t="s">
        <v>322</v>
      </c>
      <c r="B231" s="10" t="s">
        <v>55</v>
      </c>
      <c r="C231" s="10" t="s">
        <v>402</v>
      </c>
      <c r="D231" s="12">
        <v>162706.18</v>
      </c>
      <c r="E231" s="12">
        <v>25326.95</v>
      </c>
      <c r="F231" s="12">
        <v>-137379.23</v>
      </c>
      <c r="G231" s="13">
        <v>-0.8443393483886106</v>
      </c>
    </row>
    <row r="232" spans="1:7">
      <c r="A232" s="10" t="s">
        <v>322</v>
      </c>
      <c r="B232" s="10" t="s">
        <v>55</v>
      </c>
      <c r="C232" s="10" t="s">
        <v>345</v>
      </c>
      <c r="D232" s="12">
        <v>91688.37</v>
      </c>
      <c r="E232" s="12">
        <v>43354.79</v>
      </c>
      <c r="F232" s="12">
        <v>-48333.58</v>
      </c>
      <c r="G232" s="13">
        <v>-0.5271506080869363</v>
      </c>
    </row>
    <row r="233" spans="1:7">
      <c r="A233" s="10" t="s">
        <v>322</v>
      </c>
      <c r="B233" s="10" t="s">
        <v>55</v>
      </c>
      <c r="C233" s="10" t="s">
        <v>331</v>
      </c>
      <c r="D233" s="12">
        <v>1477.97</v>
      </c>
      <c r="E233" s="12">
        <v>968.3099999999999</v>
      </c>
      <c r="F233" s="12">
        <v>-509.66</v>
      </c>
      <c r="G233" s="13">
        <v>-0.3448378519185099</v>
      </c>
    </row>
    <row r="234" spans="1:7">
      <c r="A234" s="10" t="s">
        <v>322</v>
      </c>
      <c r="B234" s="10" t="s">
        <v>55</v>
      </c>
      <c r="C234" s="10" t="s">
        <v>356</v>
      </c>
      <c r="D234" s="12">
        <v>28805.72</v>
      </c>
      <c r="E234" s="12">
        <v>39938.7</v>
      </c>
      <c r="F234" s="12">
        <v>11132.98</v>
      </c>
      <c r="G234" s="13">
        <v>0.3864850453312745</v>
      </c>
    </row>
    <row r="235" spans="1:7">
      <c r="A235" s="10" t="s">
        <v>322</v>
      </c>
      <c r="B235" s="10" t="s">
        <v>55</v>
      </c>
      <c r="C235" s="10" t="s">
        <v>364</v>
      </c>
      <c r="D235" s="12">
        <v>70699.32000000001</v>
      </c>
      <c r="E235" s="12">
        <v>9895.450000000001</v>
      </c>
      <c r="F235" s="12">
        <v>-60803.87</v>
      </c>
      <c r="G235" s="13">
        <v>-0.8600347216918069</v>
      </c>
    </row>
    <row r="236" spans="1:7">
      <c r="A236" s="10" t="s">
        <v>322</v>
      </c>
      <c r="B236" s="10" t="s">
        <v>55</v>
      </c>
      <c r="C236" s="10" t="s">
        <v>350</v>
      </c>
      <c r="D236" s="12">
        <v>21991.41</v>
      </c>
      <c r="E236" s="12">
        <v>20132.22</v>
      </c>
      <c r="F236" s="12">
        <v>-1859.19</v>
      </c>
      <c r="G236" s="13">
        <v>-0.0845416460336104</v>
      </c>
    </row>
    <row r="237" spans="1:7">
      <c r="A237" s="10" t="s">
        <v>322</v>
      </c>
      <c r="B237" s="10" t="s">
        <v>55</v>
      </c>
      <c r="C237" s="10" t="s">
        <v>353</v>
      </c>
      <c r="D237" s="12">
        <v>716637.09</v>
      </c>
      <c r="E237" s="12">
        <v>321587.31</v>
      </c>
      <c r="F237" s="12">
        <v>-395049.78</v>
      </c>
      <c r="G237" s="13">
        <v>-0.5512550013284967</v>
      </c>
    </row>
    <row r="238" spans="1:7">
      <c r="A238" s="10" t="s">
        <v>322</v>
      </c>
      <c r="B238" s="10" t="s">
        <v>55</v>
      </c>
      <c r="C238" s="10" t="s">
        <v>328</v>
      </c>
      <c r="D238" s="12">
        <v>80230.94</v>
      </c>
      <c r="E238" s="12">
        <v>50661.42</v>
      </c>
      <c r="F238" s="12">
        <v>-29569.52</v>
      </c>
      <c r="G238" s="13">
        <v>-0.3685550736411664</v>
      </c>
    </row>
    <row r="239" spans="1:7">
      <c r="A239" s="10" t="s">
        <v>322</v>
      </c>
      <c r="B239" s="10" t="s">
        <v>55</v>
      </c>
      <c r="C239" s="10" t="s">
        <v>326</v>
      </c>
      <c r="D239" s="12">
        <v>145889.49</v>
      </c>
      <c r="E239" s="12">
        <v>-3.53</v>
      </c>
      <c r="F239" s="12">
        <v>-145893.02</v>
      </c>
      <c r="G239" s="13">
        <v>-1.000024196396875</v>
      </c>
    </row>
    <row r="240" spans="1:7">
      <c r="A240" s="10" t="s">
        <v>322</v>
      </c>
      <c r="B240" s="10" t="s">
        <v>55</v>
      </c>
      <c r="C240" s="10" t="s">
        <v>387</v>
      </c>
      <c r="D240" s="12">
        <v>250954.46</v>
      </c>
      <c r="E240" s="12">
        <v>188680.8</v>
      </c>
      <c r="F240" s="12">
        <v>-62273.66</v>
      </c>
      <c r="G240" s="13">
        <v>-0.2481472534897367</v>
      </c>
    </row>
    <row r="241" spans="1:7">
      <c r="A241" s="10" t="s">
        <v>322</v>
      </c>
      <c r="B241" s="10" t="s">
        <v>55</v>
      </c>
      <c r="C241" s="10" t="s">
        <v>405</v>
      </c>
      <c r="D241" s="12">
        <v>400953.19</v>
      </c>
      <c r="E241" s="12">
        <v>531613.64</v>
      </c>
      <c r="F241" s="12">
        <v>130660.45</v>
      </c>
      <c r="G241" s="13">
        <v>0.3258745740369344</v>
      </c>
    </row>
    <row r="242" spans="1:7">
      <c r="A242" s="10" t="s">
        <v>322</v>
      </c>
      <c r="B242" s="10" t="s">
        <v>55</v>
      </c>
      <c r="C242" s="10" t="s">
        <v>375</v>
      </c>
      <c r="D242" s="12">
        <v>68411.61</v>
      </c>
      <c r="E242" s="12">
        <v>63449.57</v>
      </c>
      <c r="F242" s="12">
        <v>-4962.04</v>
      </c>
      <c r="G242" s="13">
        <v>-0.07253213306922611</v>
      </c>
    </row>
    <row r="243" spans="1:7">
      <c r="A243" s="10" t="s">
        <v>322</v>
      </c>
      <c r="B243" s="10" t="s">
        <v>55</v>
      </c>
      <c r="C243" s="10" t="s">
        <v>341</v>
      </c>
      <c r="D243" s="12">
        <v>108788.83</v>
      </c>
      <c r="E243" s="12">
        <v>73566.34</v>
      </c>
      <c r="F243" s="12">
        <v>-35222.49</v>
      </c>
      <c r="G243" s="13">
        <v>-0.3237693612478414</v>
      </c>
    </row>
    <row r="244" spans="1:7">
      <c r="A244" s="10" t="s">
        <v>322</v>
      </c>
      <c r="B244" s="10" t="s">
        <v>55</v>
      </c>
      <c r="C244" s="10" t="s">
        <v>351</v>
      </c>
      <c r="D244" s="12">
        <v>26094</v>
      </c>
      <c r="E244" s="12">
        <v>73955.42</v>
      </c>
      <c r="F244" s="12">
        <v>47861.42</v>
      </c>
      <c r="G244" s="13">
        <v>1.834192534682302</v>
      </c>
    </row>
    <row r="245" spans="1:7">
      <c r="A245" s="10" t="s">
        <v>322</v>
      </c>
      <c r="B245" s="10" t="s">
        <v>55</v>
      </c>
      <c r="C245" s="10" t="s">
        <v>394</v>
      </c>
      <c r="D245" s="12">
        <v>31449.74</v>
      </c>
      <c r="E245" s="12">
        <v>17079.59</v>
      </c>
      <c r="F245" s="12">
        <v>-14370.15</v>
      </c>
      <c r="G245" s="13">
        <v>-0.4569242861785184</v>
      </c>
    </row>
    <row r="246" spans="1:7">
      <c r="A246" s="10" t="s">
        <v>322</v>
      </c>
      <c r="B246" s="10" t="s">
        <v>55</v>
      </c>
      <c r="C246" s="10" t="s">
        <v>352</v>
      </c>
      <c r="D246" s="12">
        <v>69064.42</v>
      </c>
      <c r="E246" s="12">
        <v>144840.24</v>
      </c>
      <c r="F246" s="12">
        <v>75775.82000000001</v>
      </c>
      <c r="G246" s="13">
        <v>1.097175940954836</v>
      </c>
    </row>
    <row r="247" spans="1:7">
      <c r="A247" s="10" t="s">
        <v>322</v>
      </c>
      <c r="B247" s="10" t="s">
        <v>55</v>
      </c>
      <c r="C247" s="10" t="s">
        <v>409</v>
      </c>
      <c r="D247" s="12">
        <v>107563.33</v>
      </c>
      <c r="E247" s="12">
        <v>134289.03</v>
      </c>
      <c r="F247" s="12">
        <v>26725.7</v>
      </c>
      <c r="G247" s="13">
        <v>0.2484647881392293</v>
      </c>
    </row>
    <row r="248" spans="1:7">
      <c r="A248" s="10" t="s">
        <v>322</v>
      </c>
      <c r="B248" s="10" t="s">
        <v>55</v>
      </c>
      <c r="C248" s="10" t="s">
        <v>396</v>
      </c>
      <c r="D248" s="12">
        <v>103635.77</v>
      </c>
      <c r="E248" s="12">
        <v>56285.14</v>
      </c>
      <c r="F248" s="12">
        <v>-47350.63</v>
      </c>
      <c r="G248" s="13">
        <v>-0.45689466098433</v>
      </c>
    </row>
    <row r="249" spans="1:7">
      <c r="A249" s="10" t="s">
        <v>322</v>
      </c>
      <c r="B249" s="10" t="s">
        <v>55</v>
      </c>
      <c r="C249" s="10" t="s">
        <v>392</v>
      </c>
      <c r="D249" s="12">
        <v>11038.4</v>
      </c>
      <c r="E249" s="12">
        <v>2000.38</v>
      </c>
      <c r="F249" s="12">
        <v>-9038.02</v>
      </c>
      <c r="G249" s="13">
        <v>-0.8187798956370489</v>
      </c>
    </row>
    <row r="250" spans="1:7">
      <c r="A250" s="10" t="s">
        <v>322</v>
      </c>
      <c r="B250" s="10" t="s">
        <v>55</v>
      </c>
      <c r="C250" s="10" t="s">
        <v>327</v>
      </c>
      <c r="D250" s="12">
        <v>60032.02</v>
      </c>
      <c r="E250" s="12">
        <v>46453.58</v>
      </c>
      <c r="F250" s="12">
        <v>-13578.44</v>
      </c>
      <c r="G250" s="13">
        <v>-0.2261866250710871</v>
      </c>
    </row>
    <row r="251" spans="1:7">
      <c r="A251" s="10" t="s">
        <v>322</v>
      </c>
      <c r="B251" s="10" t="s">
        <v>55</v>
      </c>
      <c r="C251" s="10" t="s">
        <v>397</v>
      </c>
      <c r="D251" s="12">
        <v>72257.08</v>
      </c>
      <c r="E251" s="12">
        <v>46390.94</v>
      </c>
      <c r="F251" s="12">
        <v>-25866.14</v>
      </c>
      <c r="G251" s="13">
        <v>-0.3579737791784556</v>
      </c>
    </row>
    <row r="252" spans="1:7">
      <c r="A252" s="10" t="s">
        <v>322</v>
      </c>
      <c r="B252" s="10" t="s">
        <v>55</v>
      </c>
      <c r="C252" s="10" t="s">
        <v>335</v>
      </c>
      <c r="D252" s="12">
        <v>138210.81</v>
      </c>
      <c r="E252" s="12">
        <v>50939.16</v>
      </c>
      <c r="F252" s="12">
        <v>-87271.64999999999</v>
      </c>
      <c r="G252" s="13">
        <v>-0.6314386696670108</v>
      </c>
    </row>
    <row r="253" spans="1:7">
      <c r="A253" s="10" t="s">
        <v>322</v>
      </c>
      <c r="B253" s="10" t="s">
        <v>55</v>
      </c>
      <c r="C253" s="10" t="s">
        <v>386</v>
      </c>
      <c r="D253" s="12">
        <v>61543.28</v>
      </c>
      <c r="E253" s="12">
        <v>48891.82</v>
      </c>
      <c r="F253" s="12">
        <v>-12651.46</v>
      </c>
      <c r="G253" s="13">
        <v>-0.2055701288589104</v>
      </c>
    </row>
    <row r="254" spans="1:7">
      <c r="A254" s="10" t="s">
        <v>322</v>
      </c>
      <c r="B254" s="10" t="s">
        <v>55</v>
      </c>
      <c r="C254" s="10" t="s">
        <v>372</v>
      </c>
      <c r="D254" s="12">
        <v>30047.62</v>
      </c>
      <c r="E254" s="12">
        <v>49989.66</v>
      </c>
      <c r="F254" s="12">
        <v>19942.04</v>
      </c>
      <c r="G254" s="13">
        <v>0.6636811834015472</v>
      </c>
    </row>
    <row r="255" spans="1:7">
      <c r="A255" s="10" t="s">
        <v>322</v>
      </c>
      <c r="B255" s="10" t="s">
        <v>55</v>
      </c>
      <c r="C255" s="10" t="s">
        <v>343</v>
      </c>
      <c r="D255" s="12">
        <v>9686.51</v>
      </c>
      <c r="E255" s="12">
        <v>12093.58</v>
      </c>
      <c r="F255" s="12">
        <v>2407.07</v>
      </c>
      <c r="G255" s="13">
        <v>0.2484971367396513</v>
      </c>
    </row>
    <row r="256" spans="1:7">
      <c r="A256" s="10" t="s">
        <v>322</v>
      </c>
      <c r="B256" s="10" t="s">
        <v>55</v>
      </c>
      <c r="C256" s="10" t="s">
        <v>371</v>
      </c>
      <c r="D256" s="12">
        <v>174164.25</v>
      </c>
      <c r="E256" s="12">
        <v>1421.2</v>
      </c>
      <c r="F256" s="12">
        <v>-172743.05</v>
      </c>
      <c r="G256" s="13">
        <v>-0.9918398867735485</v>
      </c>
    </row>
    <row r="257" spans="1:7">
      <c r="A257" s="10" t="s">
        <v>322</v>
      </c>
      <c r="B257" s="10" t="s">
        <v>55</v>
      </c>
      <c r="C257" s="10" t="s">
        <v>383</v>
      </c>
      <c r="D257" s="12">
        <v>294818.3</v>
      </c>
      <c r="E257" s="12">
        <v>214170.75</v>
      </c>
      <c r="F257" s="12">
        <v>-80647.55</v>
      </c>
      <c r="G257" s="13">
        <v>-0.273550013686396</v>
      </c>
    </row>
    <row r="258" spans="1:7">
      <c r="A258" s="10" t="s">
        <v>322</v>
      </c>
      <c r="B258" s="10" t="s">
        <v>55</v>
      </c>
      <c r="C258" s="10" t="s">
        <v>411</v>
      </c>
      <c r="D258" s="12">
        <v>632.65</v>
      </c>
      <c r="E258" s="12">
        <v>1537.81</v>
      </c>
      <c r="F258" s="12">
        <v>905.16</v>
      </c>
      <c r="G258" s="13">
        <v>1.430743697146922</v>
      </c>
    </row>
    <row r="259" spans="1:7">
      <c r="A259" s="10" t="s">
        <v>322</v>
      </c>
      <c r="B259" s="10" t="s">
        <v>55</v>
      </c>
      <c r="C259" s="10" t="s">
        <v>382</v>
      </c>
      <c r="D259" s="12">
        <v>5363.67</v>
      </c>
      <c r="E259" s="12">
        <v>27065.95</v>
      </c>
      <c r="F259" s="12">
        <v>21702.28</v>
      </c>
      <c r="G259" s="13">
        <v>4.04616242237125</v>
      </c>
    </row>
    <row r="260" spans="1:7">
      <c r="A260" s="10" t="s">
        <v>322</v>
      </c>
      <c r="B260" s="10" t="s">
        <v>55</v>
      </c>
      <c r="C260" s="10" t="s">
        <v>336</v>
      </c>
      <c r="D260" s="12">
        <v>76523.39</v>
      </c>
      <c r="E260" s="12">
        <v>9614.709999999999</v>
      </c>
      <c r="F260" s="12">
        <v>-66908.67999999999</v>
      </c>
      <c r="G260" s="13">
        <v>-0.8743559322188941</v>
      </c>
    </row>
    <row r="261" spans="1:7">
      <c r="A261" s="10" t="s">
        <v>322</v>
      </c>
      <c r="B261" s="10" t="s">
        <v>55</v>
      </c>
      <c r="C261" s="10" t="s">
        <v>385</v>
      </c>
      <c r="D261" s="12">
        <v>39358.51</v>
      </c>
      <c r="E261" s="12">
        <v>82457.88</v>
      </c>
      <c r="F261" s="12">
        <v>43099.37</v>
      </c>
      <c r="G261" s="13">
        <v>1.09504577282016</v>
      </c>
    </row>
    <row r="262" spans="1:7">
      <c r="A262" s="10" t="s">
        <v>322</v>
      </c>
      <c r="B262" s="10" t="s">
        <v>55</v>
      </c>
      <c r="C262" s="10" t="s">
        <v>344</v>
      </c>
      <c r="D262" s="12">
        <v>9768.85</v>
      </c>
      <c r="E262" s="12">
        <v>5820.84</v>
      </c>
      <c r="F262" s="12">
        <v>-3948.01</v>
      </c>
      <c r="G262" s="13">
        <v>-0.4041427598949723</v>
      </c>
    </row>
    <row r="263" spans="1:7">
      <c r="A263" s="10" t="s">
        <v>322</v>
      </c>
      <c r="B263" s="10" t="s">
        <v>55</v>
      </c>
      <c r="C263" s="10" t="s">
        <v>374</v>
      </c>
      <c r="D263" s="12">
        <v>92294.53</v>
      </c>
      <c r="E263" s="12">
        <v>165779.11</v>
      </c>
      <c r="F263" s="12">
        <v>73484.58</v>
      </c>
      <c r="G263" s="13">
        <v>0.7961964809832175</v>
      </c>
    </row>
    <row r="264" spans="1:7">
      <c r="A264" s="10" t="s">
        <v>322</v>
      </c>
      <c r="B264" s="10" t="s">
        <v>55</v>
      </c>
      <c r="C264" s="10" t="s">
        <v>325</v>
      </c>
      <c r="D264" s="12">
        <v>192821.23</v>
      </c>
      <c r="E264" s="12">
        <v>14726.48</v>
      </c>
      <c r="F264" s="12">
        <v>-178094.75</v>
      </c>
      <c r="G264" s="13">
        <v>-0.9236262521507617</v>
      </c>
    </row>
    <row r="265" spans="1:7">
      <c r="A265" s="10" t="s">
        <v>322</v>
      </c>
      <c r="B265" s="10" t="s">
        <v>55</v>
      </c>
      <c r="C265" s="10" t="s">
        <v>340</v>
      </c>
      <c r="D265" s="12">
        <v>13152.89</v>
      </c>
      <c r="E265" s="12">
        <v>7957.53</v>
      </c>
      <c r="F265" s="12">
        <v>-5195.36</v>
      </c>
      <c r="G265" s="13">
        <v>-0.3949976012876257</v>
      </c>
    </row>
    <row r="266" spans="1:7">
      <c r="A266" s="10" t="s">
        <v>322</v>
      </c>
      <c r="B266" s="10" t="s">
        <v>55</v>
      </c>
      <c r="C266" s="10" t="s">
        <v>361</v>
      </c>
      <c r="D266" s="12">
        <v>31883.31</v>
      </c>
      <c r="E266" s="12">
        <v>18795.38</v>
      </c>
      <c r="F266" s="12">
        <v>-13087.93</v>
      </c>
      <c r="G266" s="13">
        <v>-0.4104947071053789</v>
      </c>
    </row>
    <row r="267" spans="1:7">
      <c r="A267" s="10" t="s">
        <v>322</v>
      </c>
      <c r="B267" s="10" t="s">
        <v>55</v>
      </c>
      <c r="C267" s="10" t="s">
        <v>355</v>
      </c>
      <c r="D267" s="12">
        <v>81498.09</v>
      </c>
      <c r="E267" s="12">
        <v>37787.45</v>
      </c>
      <c r="F267" s="12">
        <v>-43710.64</v>
      </c>
      <c r="G267" s="13">
        <v>-0.536339440593025</v>
      </c>
    </row>
    <row r="268" spans="1:7">
      <c r="A268" s="10" t="s">
        <v>322</v>
      </c>
      <c r="B268" s="10" t="s">
        <v>55</v>
      </c>
      <c r="C268" s="10" t="s">
        <v>393</v>
      </c>
      <c r="D268" s="12">
        <v>75597.33</v>
      </c>
      <c r="E268" s="12">
        <v>71305.85000000001</v>
      </c>
      <c r="F268" s="12">
        <v>-4291.48</v>
      </c>
      <c r="G268" s="13">
        <v>-0.05676761335354039</v>
      </c>
    </row>
    <row r="269" spans="1:7">
      <c r="A269" s="10" t="s">
        <v>322</v>
      </c>
      <c r="B269" s="10" t="s">
        <v>55</v>
      </c>
      <c r="C269" s="10" t="s">
        <v>354</v>
      </c>
      <c r="D269" s="12">
        <v>97404.69</v>
      </c>
      <c r="E269" s="12">
        <v>81168.83</v>
      </c>
      <c r="F269" s="12">
        <v>-16235.86</v>
      </c>
      <c r="G269" s="13">
        <v>-0.1666845816151152</v>
      </c>
    </row>
    <row r="270" spans="1:7">
      <c r="A270" s="10" t="s">
        <v>322</v>
      </c>
      <c r="B270" s="10" t="s">
        <v>55</v>
      </c>
      <c r="C270" s="10" t="s">
        <v>347</v>
      </c>
      <c r="D270" s="12">
        <v>39338.38</v>
      </c>
      <c r="E270" s="12">
        <v>1918.49</v>
      </c>
      <c r="F270" s="12">
        <v>-37419.89</v>
      </c>
      <c r="G270" s="13">
        <v>-0.9512310878078865</v>
      </c>
    </row>
    <row r="271" spans="1:7">
      <c r="A271" s="10" t="s">
        <v>322</v>
      </c>
      <c r="B271" s="10" t="s">
        <v>55</v>
      </c>
      <c r="C271" s="10" t="s">
        <v>381</v>
      </c>
      <c r="D271" s="12">
        <v>0</v>
      </c>
      <c r="E271" s="12">
        <v>-87.83</v>
      </c>
      <c r="F271" s="12">
        <v>-87.83</v>
      </c>
      <c r="G271" s="13"/>
    </row>
    <row r="272" spans="1:7">
      <c r="A272" s="10" t="s">
        <v>322</v>
      </c>
      <c r="B272" s="10" t="s">
        <v>55</v>
      </c>
      <c r="C272" s="10" t="s">
        <v>399</v>
      </c>
      <c r="D272" s="12">
        <v>0</v>
      </c>
      <c r="E272" s="12">
        <v>0</v>
      </c>
      <c r="F272" s="12">
        <v>0</v>
      </c>
      <c r="G272" s="13"/>
    </row>
    <row r="273" spans="1:7">
      <c r="A273" s="10" t="s">
        <v>322</v>
      </c>
      <c r="B273" s="10" t="s">
        <v>55</v>
      </c>
      <c r="C273" s="10" t="s">
        <v>408</v>
      </c>
      <c r="D273" s="12">
        <v>64520.31</v>
      </c>
      <c r="E273" s="12">
        <v>43317.33</v>
      </c>
      <c r="F273" s="12">
        <v>-21202.98</v>
      </c>
      <c r="G273" s="13">
        <v>-0.328624893463779</v>
      </c>
    </row>
    <row r="274" spans="1:7">
      <c r="A274" s="10" t="s">
        <v>322</v>
      </c>
      <c r="B274" s="10" t="s">
        <v>55</v>
      </c>
      <c r="C274" s="10" t="s">
        <v>338</v>
      </c>
      <c r="D274" s="12">
        <v>17527.88</v>
      </c>
      <c r="E274" s="12">
        <v>50256.28</v>
      </c>
      <c r="F274" s="12">
        <v>32728.4</v>
      </c>
      <c r="G274" s="13">
        <v>1.867219538244214</v>
      </c>
    </row>
    <row r="275" spans="1:7">
      <c r="A275" s="10" t="s">
        <v>322</v>
      </c>
      <c r="B275" s="10" t="s">
        <v>55</v>
      </c>
      <c r="C275" s="10" t="s">
        <v>378</v>
      </c>
      <c r="D275" s="12">
        <v>3186.06</v>
      </c>
      <c r="E275" s="12">
        <v>4527.57</v>
      </c>
      <c r="F275" s="12">
        <v>1341.51</v>
      </c>
      <c r="G275" s="13">
        <v>0.4210561006384061</v>
      </c>
    </row>
    <row r="276" spans="1:7">
      <c r="A276" s="10" t="s">
        <v>322</v>
      </c>
      <c r="B276" s="10" t="s">
        <v>55</v>
      </c>
      <c r="C276" s="10" t="s">
        <v>358</v>
      </c>
      <c r="D276" s="12">
        <v>36851.84</v>
      </c>
      <c r="E276" s="12">
        <v>145137.07</v>
      </c>
      <c r="F276" s="12">
        <v>108285.23</v>
      </c>
      <c r="G276" s="13">
        <v>2.938394120890572</v>
      </c>
    </row>
    <row r="277" spans="1:7">
      <c r="A277" s="10" t="s">
        <v>322</v>
      </c>
      <c r="B277" s="10" t="s">
        <v>55</v>
      </c>
      <c r="C277" s="10" t="s">
        <v>363</v>
      </c>
      <c r="D277" s="12">
        <v>61874.69</v>
      </c>
      <c r="E277" s="12">
        <v>21726.68</v>
      </c>
      <c r="F277" s="12">
        <v>-40148.01</v>
      </c>
      <c r="G277" s="13">
        <v>-0.6488599781267591</v>
      </c>
    </row>
    <row r="278" spans="1:7">
      <c r="A278" s="10" t="s">
        <v>322</v>
      </c>
      <c r="B278" s="10" t="s">
        <v>55</v>
      </c>
      <c r="C278" s="10" t="s">
        <v>337</v>
      </c>
      <c r="D278" s="12">
        <v>205450.92</v>
      </c>
      <c r="E278" s="12">
        <v>24267.29</v>
      </c>
      <c r="F278" s="12">
        <v>-181183.63</v>
      </c>
      <c r="G278" s="13">
        <v>-0.8818827873829914</v>
      </c>
    </row>
    <row r="279" spans="1:7">
      <c r="A279" s="10" t="s">
        <v>322</v>
      </c>
      <c r="B279" s="10" t="s">
        <v>55</v>
      </c>
      <c r="C279" s="10" t="s">
        <v>403</v>
      </c>
      <c r="D279" s="12">
        <v>11155.11</v>
      </c>
      <c r="E279" s="12">
        <v>6597.8</v>
      </c>
      <c r="F279" s="12">
        <v>-4557.31</v>
      </c>
      <c r="G279" s="13">
        <v>-0.408540121971007</v>
      </c>
    </row>
    <row r="280" spans="1:7">
      <c r="A280" s="10" t="s">
        <v>322</v>
      </c>
      <c r="B280" s="10" t="s">
        <v>55</v>
      </c>
      <c r="C280" s="10" t="s">
        <v>379</v>
      </c>
      <c r="D280" s="12">
        <v>29793.7</v>
      </c>
      <c r="E280" s="12">
        <v>32820.51</v>
      </c>
      <c r="F280" s="12">
        <v>3026.81</v>
      </c>
      <c r="G280" s="13">
        <v>0.1015922829322978</v>
      </c>
    </row>
    <row r="281" spans="1:7">
      <c r="A281" s="10" t="s">
        <v>322</v>
      </c>
      <c r="B281" s="10" t="s">
        <v>55</v>
      </c>
      <c r="C281" s="10" t="s">
        <v>367</v>
      </c>
      <c r="D281" s="12">
        <v>12785.23</v>
      </c>
      <c r="E281" s="12">
        <v>2353.28</v>
      </c>
      <c r="F281" s="12">
        <v>-10431.95</v>
      </c>
      <c r="G281" s="13">
        <v>-0.8159376092569316</v>
      </c>
    </row>
    <row r="282" spans="1:7">
      <c r="A282" s="10" t="s">
        <v>322</v>
      </c>
      <c r="B282" s="10" t="s">
        <v>55</v>
      </c>
      <c r="C282" s="10" t="s">
        <v>346</v>
      </c>
      <c r="D282" s="12">
        <v>10475.37</v>
      </c>
      <c r="E282" s="12">
        <v>34163.89</v>
      </c>
      <c r="F282" s="12">
        <v>23688.52</v>
      </c>
      <c r="G282" s="13">
        <v>2.261354014225751</v>
      </c>
    </row>
    <row r="283" spans="1:7">
      <c r="A283" s="10" t="s">
        <v>322</v>
      </c>
      <c r="B283" s="10" t="s">
        <v>55</v>
      </c>
      <c r="C283" s="10" t="s">
        <v>389</v>
      </c>
      <c r="D283" s="12">
        <v>17665.5</v>
      </c>
      <c r="E283" s="12">
        <v>94978.08</v>
      </c>
      <c r="F283" s="12">
        <v>77312.58</v>
      </c>
      <c r="G283" s="13">
        <v>4.376472785938694</v>
      </c>
    </row>
    <row r="284" spans="1:7">
      <c r="A284" s="10" t="s">
        <v>322</v>
      </c>
      <c r="B284" s="10" t="s">
        <v>55</v>
      </c>
      <c r="C284" s="10" t="s">
        <v>401</v>
      </c>
      <c r="D284" s="12">
        <v>15735</v>
      </c>
      <c r="E284" s="12">
        <v>6372.74</v>
      </c>
      <c r="F284" s="12">
        <v>-9362.26</v>
      </c>
      <c r="G284" s="13">
        <v>-0.594995869081665</v>
      </c>
    </row>
    <row r="285" spans="1:7">
      <c r="A285" s="10" t="s">
        <v>322</v>
      </c>
      <c r="B285" s="10" t="s">
        <v>55</v>
      </c>
      <c r="C285" s="10" t="s">
        <v>332</v>
      </c>
      <c r="D285" s="12">
        <v>1425.75</v>
      </c>
      <c r="E285" s="12">
        <v>3373.76</v>
      </c>
      <c r="F285" s="12">
        <v>1948.01</v>
      </c>
      <c r="G285" s="13">
        <v>1.366305453270209</v>
      </c>
    </row>
    <row r="286" spans="1:7">
      <c r="A286" s="10" t="s">
        <v>322</v>
      </c>
      <c r="B286" s="10" t="s">
        <v>55</v>
      </c>
      <c r="C286" s="10" t="s">
        <v>362</v>
      </c>
      <c r="D286" s="12">
        <v>46931.81</v>
      </c>
      <c r="E286" s="12">
        <v>35086.64</v>
      </c>
      <c r="F286" s="12">
        <v>-11845.17</v>
      </c>
      <c r="G286" s="13">
        <v>-0.2523910754773788</v>
      </c>
    </row>
    <row r="287" spans="1:7">
      <c r="A287" s="10" t="s">
        <v>322</v>
      </c>
      <c r="B287" s="10" t="s">
        <v>55</v>
      </c>
      <c r="C287" s="10" t="s">
        <v>329</v>
      </c>
      <c r="D287" s="12">
        <v>18401.84</v>
      </c>
      <c r="E287" s="12">
        <v>16330.14</v>
      </c>
      <c r="F287" s="12">
        <v>-2071.7</v>
      </c>
      <c r="G287" s="13">
        <v>-0.1125811331910287</v>
      </c>
    </row>
    <row r="288" spans="1:7">
      <c r="A288" s="10" t="s">
        <v>322</v>
      </c>
      <c r="B288" s="10" t="s">
        <v>55</v>
      </c>
      <c r="C288" s="10" t="s">
        <v>342</v>
      </c>
      <c r="D288" s="12">
        <v>28734.17</v>
      </c>
      <c r="E288" s="12">
        <v>34767.44</v>
      </c>
      <c r="F288" s="12">
        <v>6033.27</v>
      </c>
      <c r="G288" s="13">
        <v>0.2099684800361382</v>
      </c>
    </row>
    <row r="289" spans="1:7">
      <c r="A289" s="10" t="s">
        <v>322</v>
      </c>
      <c r="B289" s="10" t="s">
        <v>55</v>
      </c>
      <c r="C289" s="10" t="s">
        <v>369</v>
      </c>
      <c r="D289" s="12">
        <v>0</v>
      </c>
      <c r="E289" s="12">
        <v>1219.12</v>
      </c>
      <c r="F289" s="12">
        <v>1219.12</v>
      </c>
      <c r="G289" s="13"/>
    </row>
    <row r="290" spans="1:7">
      <c r="A290" s="10" t="s">
        <v>322</v>
      </c>
      <c r="B290" s="10" t="s">
        <v>55</v>
      </c>
      <c r="C290" s="10" t="s">
        <v>366</v>
      </c>
      <c r="D290" s="12">
        <v>38970.3</v>
      </c>
      <c r="E290" s="12">
        <v>41153.79</v>
      </c>
      <c r="F290" s="12">
        <v>2183.49</v>
      </c>
      <c r="G290" s="13">
        <v>0.05602959176603721</v>
      </c>
    </row>
    <row r="291" spans="1:7">
      <c r="A291" s="10" t="s">
        <v>322</v>
      </c>
      <c r="B291" s="10" t="s">
        <v>55</v>
      </c>
      <c r="C291" s="10" t="s">
        <v>376</v>
      </c>
      <c r="D291" s="12">
        <v>4866.5</v>
      </c>
      <c r="E291" s="12">
        <v>96484.05</v>
      </c>
      <c r="F291" s="12">
        <v>91617.55</v>
      </c>
      <c r="G291" s="13">
        <v>18.82616870440769</v>
      </c>
    </row>
    <row r="292" spans="1:7">
      <c r="A292" s="10" t="s">
        <v>322</v>
      </c>
      <c r="B292" s="10" t="s">
        <v>55</v>
      </c>
      <c r="C292" s="10" t="s">
        <v>339</v>
      </c>
      <c r="D292" s="12">
        <v>64731.52</v>
      </c>
      <c r="E292" s="12">
        <v>43668.96</v>
      </c>
      <c r="F292" s="12">
        <v>-21062.56</v>
      </c>
      <c r="G292" s="13">
        <v>-0.3253833681025874</v>
      </c>
    </row>
    <row r="293" spans="1:7">
      <c r="A293" s="10" t="s">
        <v>322</v>
      </c>
      <c r="B293" s="10" t="s">
        <v>55</v>
      </c>
      <c r="C293" s="10" t="s">
        <v>359</v>
      </c>
      <c r="D293" s="12">
        <v>34580.57</v>
      </c>
      <c r="E293" s="12">
        <v>29159.93</v>
      </c>
      <c r="F293" s="12">
        <v>-5420.64</v>
      </c>
      <c r="G293" s="13">
        <v>-0.1567539227953732</v>
      </c>
    </row>
    <row r="294" spans="1:7">
      <c r="A294" s="10" t="s">
        <v>322</v>
      </c>
      <c r="B294" s="10" t="s">
        <v>55</v>
      </c>
      <c r="C294" s="10" t="s">
        <v>349</v>
      </c>
      <c r="D294" s="12">
        <v>4801.6</v>
      </c>
      <c r="E294" s="12">
        <v>4385.58</v>
      </c>
      <c r="F294" s="12">
        <v>-416.02</v>
      </c>
      <c r="G294" s="13">
        <v>-0.08664195268243918</v>
      </c>
    </row>
    <row r="295" spans="1:7">
      <c r="A295" s="10" t="s">
        <v>322</v>
      </c>
      <c r="B295" s="10" t="s">
        <v>55</v>
      </c>
      <c r="C295" s="10" t="s">
        <v>324</v>
      </c>
      <c r="D295" s="12">
        <v>3285.61</v>
      </c>
      <c r="E295" s="12">
        <v>30000</v>
      </c>
      <c r="F295" s="12">
        <v>26714.39</v>
      </c>
      <c r="G295" s="13">
        <v>8.130724583867227</v>
      </c>
    </row>
    <row r="296" spans="1:7">
      <c r="A296" s="10" t="s">
        <v>322</v>
      </c>
      <c r="B296" s="10" t="s">
        <v>55</v>
      </c>
      <c r="C296" s="10" t="s">
        <v>365</v>
      </c>
      <c r="D296" s="12">
        <v>-6582.42</v>
      </c>
      <c r="E296" s="12">
        <v>1972.23</v>
      </c>
      <c r="F296" s="12">
        <v>8554.65</v>
      </c>
      <c r="G296" s="13">
        <v>1.299620808152625</v>
      </c>
    </row>
    <row r="297" spans="1:7">
      <c r="A297" s="10" t="s">
        <v>322</v>
      </c>
      <c r="B297" s="10" t="s">
        <v>55</v>
      </c>
      <c r="C297" s="10" t="s">
        <v>373</v>
      </c>
      <c r="D297" s="12">
        <v>0</v>
      </c>
      <c r="E297" s="12">
        <v>0</v>
      </c>
      <c r="F297" s="12">
        <v>0</v>
      </c>
      <c r="G297" s="13"/>
    </row>
    <row r="298" spans="1:7">
      <c r="A298" s="10" t="s">
        <v>322</v>
      </c>
      <c r="B298" s="10" t="s">
        <v>55</v>
      </c>
      <c r="C298" s="10" t="s">
        <v>360</v>
      </c>
      <c r="D298" s="12">
        <v>1702.6</v>
      </c>
      <c r="E298" s="12">
        <v>49210</v>
      </c>
      <c r="F298" s="12">
        <v>47507.4</v>
      </c>
      <c r="G298" s="13">
        <v>27.90285445788794</v>
      </c>
    </row>
    <row r="299" spans="1:7">
      <c r="A299" s="10" t="s">
        <v>322</v>
      </c>
      <c r="B299" s="10" t="s">
        <v>55</v>
      </c>
      <c r="C299" s="10" t="s">
        <v>334</v>
      </c>
      <c r="D299" s="12">
        <v>0</v>
      </c>
      <c r="E299" s="12">
        <v>6616</v>
      </c>
      <c r="F299" s="12">
        <v>6616</v>
      </c>
      <c r="G299" s="13"/>
    </row>
    <row r="300" spans="1:7">
      <c r="A300" s="10" t="s">
        <v>140</v>
      </c>
      <c r="B300" s="10" t="s">
        <v>67</v>
      </c>
      <c r="C300" s="10" t="s">
        <v>141</v>
      </c>
      <c r="D300" s="12">
        <v>28722.74</v>
      </c>
      <c r="E300" s="12">
        <v>16803.44</v>
      </c>
      <c r="F300" s="12">
        <v>-11919.3</v>
      </c>
      <c r="G300" s="13">
        <v>-0.4149778189685246</v>
      </c>
    </row>
    <row r="301" spans="1:7">
      <c r="A301" s="10" t="s">
        <v>140</v>
      </c>
      <c r="B301" s="10" t="s">
        <v>67</v>
      </c>
      <c r="C301" s="10" t="s">
        <v>143</v>
      </c>
      <c r="D301" s="12">
        <v>7327.97</v>
      </c>
      <c r="E301" s="12">
        <v>57735.41</v>
      </c>
      <c r="F301" s="12">
        <v>50407.44</v>
      </c>
      <c r="G301" s="13">
        <v>6.878772702399163</v>
      </c>
    </row>
    <row r="302" spans="1:7">
      <c r="A302" s="10" t="s">
        <v>140</v>
      </c>
      <c r="B302" s="10" t="s">
        <v>67</v>
      </c>
      <c r="C302" s="10" t="s">
        <v>142</v>
      </c>
      <c r="D302" s="12">
        <v>505.64</v>
      </c>
      <c r="E302" s="12">
        <v>-1087.87</v>
      </c>
      <c r="F302" s="12">
        <v>-1593.51</v>
      </c>
      <c r="G302" s="13">
        <v>-3.15147140257891</v>
      </c>
    </row>
    <row r="303" spans="1:7">
      <c r="A303" s="10" t="s">
        <v>229</v>
      </c>
      <c r="B303" s="10" t="s">
        <v>67</v>
      </c>
      <c r="C303" s="10" t="s">
        <v>240</v>
      </c>
      <c r="D303" s="12">
        <v>113998.35</v>
      </c>
      <c r="E303" s="12">
        <v>9541.790000000001</v>
      </c>
      <c r="F303" s="12">
        <v>-104456.56</v>
      </c>
      <c r="G303" s="13">
        <v>-0.9162988762556651</v>
      </c>
    </row>
    <row r="304" spans="1:7">
      <c r="A304" s="10" t="s">
        <v>229</v>
      </c>
      <c r="B304" s="10" t="s">
        <v>67</v>
      </c>
      <c r="C304" s="10" t="s">
        <v>247</v>
      </c>
      <c r="D304" s="12">
        <v>21058.56</v>
      </c>
      <c r="E304" s="12">
        <v>26404.78</v>
      </c>
      <c r="F304" s="12">
        <v>5346.22</v>
      </c>
      <c r="G304" s="13">
        <v>0.2538739590931194</v>
      </c>
    </row>
    <row r="305" spans="1:7">
      <c r="A305" s="10" t="s">
        <v>229</v>
      </c>
      <c r="B305" s="10" t="s">
        <v>67</v>
      </c>
      <c r="C305" s="10" t="s">
        <v>243</v>
      </c>
      <c r="D305" s="12">
        <v>2014.93</v>
      </c>
      <c r="E305" s="12">
        <v>5357.92</v>
      </c>
      <c r="F305" s="12">
        <v>3342.99</v>
      </c>
      <c r="G305" s="13">
        <v>1.659109745747991</v>
      </c>
    </row>
    <row r="306" spans="1:7">
      <c r="A306" s="10" t="s">
        <v>229</v>
      </c>
      <c r="B306" s="10" t="s">
        <v>67</v>
      </c>
      <c r="C306" s="10" t="s">
        <v>244</v>
      </c>
      <c r="D306" s="12">
        <v>1257.31</v>
      </c>
      <c r="E306" s="12">
        <v>746.7</v>
      </c>
      <c r="F306" s="12">
        <v>-510.61</v>
      </c>
      <c r="G306" s="13">
        <v>-0.4061130508784628</v>
      </c>
    </row>
    <row r="307" spans="1:7">
      <c r="A307" s="10" t="s">
        <v>229</v>
      </c>
      <c r="B307" s="10" t="s">
        <v>67</v>
      </c>
      <c r="C307" s="10" t="s">
        <v>234</v>
      </c>
      <c r="D307" s="12">
        <v>79890.97</v>
      </c>
      <c r="E307" s="12">
        <v>69122.69</v>
      </c>
      <c r="F307" s="12">
        <v>-10768.28</v>
      </c>
      <c r="G307" s="13">
        <v>-0.1347871981026141</v>
      </c>
    </row>
    <row r="308" spans="1:7">
      <c r="A308" s="10" t="s">
        <v>229</v>
      </c>
      <c r="B308" s="10" t="s">
        <v>67</v>
      </c>
      <c r="C308" s="10" t="s">
        <v>242</v>
      </c>
      <c r="D308" s="12">
        <v>0</v>
      </c>
      <c r="E308" s="12">
        <v>0</v>
      </c>
      <c r="F308" s="12">
        <v>0</v>
      </c>
      <c r="G308" s="13"/>
    </row>
    <row r="309" spans="1:7">
      <c r="A309" s="10" t="s">
        <v>229</v>
      </c>
      <c r="B309" s="10" t="s">
        <v>67</v>
      </c>
      <c r="C309" s="10" t="s">
        <v>241</v>
      </c>
      <c r="D309" s="12">
        <v>558.39</v>
      </c>
      <c r="E309" s="12">
        <v>507.07</v>
      </c>
      <c r="F309" s="12">
        <v>-51.32</v>
      </c>
      <c r="G309" s="13">
        <v>-0.09190709002668386</v>
      </c>
    </row>
    <row r="310" spans="1:7">
      <c r="A310" s="10" t="s">
        <v>229</v>
      </c>
      <c r="B310" s="10" t="s">
        <v>67</v>
      </c>
      <c r="C310" s="10" t="s">
        <v>233</v>
      </c>
      <c r="D310" s="12">
        <v>10117.37</v>
      </c>
      <c r="E310" s="12">
        <v>6110.91</v>
      </c>
      <c r="F310" s="12">
        <v>-4006.46</v>
      </c>
      <c r="G310" s="13">
        <v>-0.3959981694847574</v>
      </c>
    </row>
    <row r="311" spans="1:7">
      <c r="A311" s="10" t="s">
        <v>229</v>
      </c>
      <c r="B311" s="10" t="s">
        <v>67</v>
      </c>
      <c r="C311" s="10" t="s">
        <v>235</v>
      </c>
      <c r="D311" s="12">
        <v>2836.84</v>
      </c>
      <c r="E311" s="12">
        <v>2370.99</v>
      </c>
      <c r="F311" s="12">
        <v>-465.85</v>
      </c>
      <c r="G311" s="13">
        <v>-0.1642144075802654</v>
      </c>
    </row>
    <row r="312" spans="1:7">
      <c r="A312" s="10" t="s">
        <v>229</v>
      </c>
      <c r="B312" s="10" t="s">
        <v>67</v>
      </c>
      <c r="C312" s="10" t="s">
        <v>231</v>
      </c>
      <c r="D312" s="12">
        <v>0</v>
      </c>
      <c r="E312" s="12">
        <v>-141.94</v>
      </c>
      <c r="F312" s="12">
        <v>-141.94</v>
      </c>
      <c r="G312" s="13"/>
    </row>
    <row r="313" spans="1:7">
      <c r="A313" s="10" t="s">
        <v>229</v>
      </c>
      <c r="B313" s="10" t="s">
        <v>67</v>
      </c>
      <c r="C313" s="10" t="s">
        <v>238</v>
      </c>
      <c r="D313" s="12">
        <v>1003.56</v>
      </c>
      <c r="E313" s="12">
        <v>6187.22</v>
      </c>
      <c r="F313" s="12">
        <v>5183.66</v>
      </c>
      <c r="G313" s="13">
        <v>5.165271632986568</v>
      </c>
    </row>
    <row r="314" spans="1:7">
      <c r="A314" s="10" t="s">
        <v>229</v>
      </c>
      <c r="B314" s="10" t="s">
        <v>67</v>
      </c>
      <c r="C314" s="10" t="s">
        <v>236</v>
      </c>
      <c r="D314" s="12">
        <v>133.84</v>
      </c>
      <c r="E314" s="12">
        <v>566.6799999999999</v>
      </c>
      <c r="F314" s="12">
        <v>432.84</v>
      </c>
      <c r="G314" s="13">
        <v>3.234010759115362</v>
      </c>
    </row>
    <row r="315" spans="1:7">
      <c r="A315" s="10" t="s">
        <v>229</v>
      </c>
      <c r="B315" s="10" t="s">
        <v>67</v>
      </c>
      <c r="C315" s="10" t="s">
        <v>248</v>
      </c>
      <c r="D315" s="12">
        <v>27226.79</v>
      </c>
      <c r="E315" s="12">
        <v>1970.63</v>
      </c>
      <c r="F315" s="12">
        <v>-25256.16</v>
      </c>
      <c r="G315" s="13">
        <v>-0.9276216549949516</v>
      </c>
    </row>
    <row r="316" spans="1:7">
      <c r="A316" s="10" t="s">
        <v>229</v>
      </c>
      <c r="B316" s="10" t="s">
        <v>67</v>
      </c>
      <c r="C316" s="10" t="s">
        <v>237</v>
      </c>
      <c r="D316" s="12">
        <v>552.61</v>
      </c>
      <c r="E316" s="12">
        <v>675.99</v>
      </c>
      <c r="F316" s="12">
        <v>123.38</v>
      </c>
      <c r="G316" s="13">
        <v>0.223267765693708</v>
      </c>
    </row>
    <row r="317" spans="1:7">
      <c r="A317" s="10" t="s">
        <v>229</v>
      </c>
      <c r="B317" s="10" t="s">
        <v>67</v>
      </c>
      <c r="C317" s="10" t="s">
        <v>230</v>
      </c>
      <c r="D317" s="12">
        <v>493.63</v>
      </c>
      <c r="E317" s="12">
        <v>959.45</v>
      </c>
      <c r="F317" s="12">
        <v>465.82</v>
      </c>
      <c r="G317" s="13">
        <v>0.9436622571561696</v>
      </c>
    </row>
    <row r="318" spans="1:7">
      <c r="A318" s="10" t="s">
        <v>176</v>
      </c>
      <c r="B318" s="10" t="s">
        <v>67</v>
      </c>
      <c r="C318" s="10" t="s">
        <v>177</v>
      </c>
      <c r="D318" s="12">
        <v>6877.34</v>
      </c>
      <c r="E318" s="12">
        <v>-2279.27</v>
      </c>
      <c r="F318" s="12">
        <v>-9156.610000000001</v>
      </c>
      <c r="G318" s="13">
        <v>-1.331417379393777</v>
      </c>
    </row>
    <row r="319" spans="1:7">
      <c r="A319" s="10" t="s">
        <v>176</v>
      </c>
      <c r="B319" s="10" t="s">
        <v>67</v>
      </c>
      <c r="C319" s="10" t="s">
        <v>179</v>
      </c>
      <c r="D319" s="12">
        <v>1297.91</v>
      </c>
      <c r="E319" s="12">
        <v>17184.45</v>
      </c>
      <c r="F319" s="12">
        <v>15886.54</v>
      </c>
      <c r="G319" s="13">
        <v>12.24009368908476</v>
      </c>
    </row>
    <row r="320" spans="1:7">
      <c r="A320" s="10" t="s">
        <v>176</v>
      </c>
      <c r="B320" s="10" t="s">
        <v>67</v>
      </c>
      <c r="C320" s="10" t="s">
        <v>178</v>
      </c>
      <c r="D320" s="12">
        <v>487.27</v>
      </c>
      <c r="E320" s="12">
        <v>2577.5</v>
      </c>
      <c r="F320" s="12">
        <v>2090.23</v>
      </c>
      <c r="G320" s="13">
        <v>4.289675128778706</v>
      </c>
    </row>
    <row r="321" spans="1:7">
      <c r="A321" s="10" t="s">
        <v>176</v>
      </c>
      <c r="B321" s="10" t="s">
        <v>67</v>
      </c>
      <c r="C321" s="10" t="s">
        <v>180</v>
      </c>
      <c r="D321" s="12">
        <v>0</v>
      </c>
      <c r="E321" s="12">
        <v>27575.95</v>
      </c>
      <c r="F321" s="12">
        <v>27575.95</v>
      </c>
      <c r="G321" s="13"/>
    </row>
    <row r="322" spans="1:7">
      <c r="A322" s="10" t="s">
        <v>273</v>
      </c>
      <c r="B322" s="10" t="s">
        <v>67</v>
      </c>
      <c r="C322" s="10" t="s">
        <v>274</v>
      </c>
      <c r="D322" s="12">
        <v>56700.2</v>
      </c>
      <c r="E322" s="12">
        <v>35702.8</v>
      </c>
      <c r="F322" s="12">
        <v>-20997.4</v>
      </c>
      <c r="G322" s="13">
        <v>-0.3703232087364771</v>
      </c>
    </row>
    <row r="323" spans="1:7">
      <c r="A323" s="10" t="s">
        <v>54</v>
      </c>
      <c r="B323" s="10" t="s">
        <v>55</v>
      </c>
      <c r="C323" s="10" t="s">
        <v>56</v>
      </c>
      <c r="D323" s="12">
        <v>5192.35</v>
      </c>
      <c r="E323" s="12">
        <v>5079.25</v>
      </c>
      <c r="F323" s="12">
        <v>-113.1</v>
      </c>
      <c r="G323" s="13">
        <v>-0.02178204473889472</v>
      </c>
    </row>
    <row r="324" spans="1:7">
      <c r="A324" s="10" t="s">
        <v>111</v>
      </c>
      <c r="B324" s="10" t="s">
        <v>67</v>
      </c>
      <c r="C324" s="10" t="s">
        <v>115</v>
      </c>
      <c r="D324" s="12">
        <v>0</v>
      </c>
      <c r="E324" s="12">
        <v>22090.11</v>
      </c>
      <c r="F324" s="12">
        <v>22090.11</v>
      </c>
      <c r="G324" s="13"/>
    </row>
    <row r="325" spans="1:7">
      <c r="A325" s="10" t="s">
        <v>161</v>
      </c>
      <c r="B325" s="10" t="s">
        <v>67</v>
      </c>
      <c r="C325" s="10" t="s">
        <v>167</v>
      </c>
      <c r="D325" s="12">
        <v>144.11</v>
      </c>
      <c r="E325" s="12">
        <v>141.16</v>
      </c>
      <c r="F325" s="12">
        <v>-2.95</v>
      </c>
      <c r="G325" s="13">
        <v>-0.02047047394351537</v>
      </c>
    </row>
    <row r="326" spans="1:7">
      <c r="A326" s="10" t="s">
        <v>296</v>
      </c>
      <c r="B326" s="10" t="s">
        <v>67</v>
      </c>
      <c r="C326" s="10" t="s">
        <v>298</v>
      </c>
      <c r="D326" s="12">
        <v>0</v>
      </c>
      <c r="E326" s="12">
        <v>0</v>
      </c>
      <c r="F326" s="12">
        <v>0</v>
      </c>
      <c r="G326" s="13"/>
    </row>
    <row r="327" spans="1:7">
      <c r="A327" s="10" t="s">
        <v>261</v>
      </c>
      <c r="B327" s="10" t="s">
        <v>67</v>
      </c>
      <c r="C327" s="10" t="s">
        <v>264</v>
      </c>
      <c r="D327" s="12">
        <v>0</v>
      </c>
      <c r="E327" s="12">
        <v>663.85</v>
      </c>
      <c r="F327" s="12">
        <v>663.85</v>
      </c>
      <c r="G327" s="13"/>
    </row>
    <row r="328" spans="1:7">
      <c r="A328" s="10" t="s">
        <v>305</v>
      </c>
      <c r="B328" s="10" t="s">
        <v>67</v>
      </c>
      <c r="C328" s="10" t="s">
        <v>306</v>
      </c>
      <c r="D328" s="12">
        <v>0</v>
      </c>
      <c r="E328" s="12">
        <v>16577.5</v>
      </c>
      <c r="F328" s="12">
        <v>16577.5</v>
      </c>
      <c r="G328" s="13"/>
    </row>
    <row r="329" spans="1:7">
      <c r="A329" s="10" t="s">
        <v>33</v>
      </c>
      <c r="B329" s="10" t="s">
        <v>34</v>
      </c>
      <c r="C329" s="10" t="s">
        <v>45</v>
      </c>
      <c r="D329" s="12">
        <v>2773.93</v>
      </c>
      <c r="E329" s="12">
        <v>2671.61</v>
      </c>
      <c r="F329" s="12">
        <v>-102.32</v>
      </c>
      <c r="G329" s="13">
        <v>-0.03688629489568951</v>
      </c>
    </row>
    <row r="330" spans="1:7">
      <c r="A330" s="10" t="s">
        <v>289</v>
      </c>
      <c r="B330" s="10" t="s">
        <v>67</v>
      </c>
      <c r="C330" s="10" t="s">
        <v>293</v>
      </c>
      <c r="D330" s="12">
        <v>1716.87</v>
      </c>
      <c r="E330" s="12">
        <v>1660.76</v>
      </c>
      <c r="F330" s="12">
        <v>-56.11</v>
      </c>
      <c r="G330" s="13">
        <v>-0.03268156587278012</v>
      </c>
    </row>
    <row r="331" spans="1:7">
      <c r="A331" s="10" t="s">
        <v>104</v>
      </c>
      <c r="B331" s="10" t="s">
        <v>67</v>
      </c>
      <c r="C331" s="10" t="s">
        <v>105</v>
      </c>
      <c r="D331" s="12">
        <v>17934.28</v>
      </c>
      <c r="E331" s="12">
        <v>17155.86</v>
      </c>
      <c r="F331" s="12">
        <v>-778.42</v>
      </c>
      <c r="G331" s="13">
        <v>-0.04340402848622861</v>
      </c>
    </row>
    <row r="332" spans="1:7">
      <c r="A332" s="10" t="s">
        <v>111</v>
      </c>
      <c r="B332" s="10" t="s">
        <v>67</v>
      </c>
      <c r="C332" s="10" t="s">
        <v>113</v>
      </c>
      <c r="D332" s="12">
        <v>21607.42</v>
      </c>
      <c r="E332" s="12">
        <v>21164.7</v>
      </c>
      <c r="F332" s="12">
        <v>-442.72</v>
      </c>
      <c r="G332" s="13">
        <v>-0.02048925785679179</v>
      </c>
    </row>
    <row r="333" spans="1:7">
      <c r="A333" s="10" t="s">
        <v>169</v>
      </c>
      <c r="B333" s="10" t="s">
        <v>67</v>
      </c>
      <c r="C333" s="10" t="s">
        <v>172</v>
      </c>
      <c r="D333" s="12">
        <v>14574.3</v>
      </c>
      <c r="E333" s="12">
        <v>14275.69</v>
      </c>
      <c r="F333" s="12">
        <v>-298.61</v>
      </c>
      <c r="G333" s="13">
        <v>-0.02048880563732049</v>
      </c>
    </row>
    <row r="334" spans="1:7">
      <c r="A334" s="10" t="s">
        <v>322</v>
      </c>
      <c r="B334" s="10" t="s">
        <v>55</v>
      </c>
      <c r="C334" s="10" t="s">
        <v>323</v>
      </c>
      <c r="D334" s="12">
        <v>260673.5</v>
      </c>
      <c r="E334" s="12">
        <v>260673.5</v>
      </c>
      <c r="F334" s="12">
        <v>0</v>
      </c>
      <c r="G334" s="13">
        <v>0</v>
      </c>
    </row>
    <row r="335" spans="1:7">
      <c r="A335" s="10" t="s">
        <v>322</v>
      </c>
      <c r="B335" s="10" t="s">
        <v>55</v>
      </c>
      <c r="C335" s="10" t="s">
        <v>400</v>
      </c>
      <c r="D335" s="12">
        <v>8475.690000000001</v>
      </c>
      <c r="E335" s="12">
        <v>8253.620000000001</v>
      </c>
      <c r="F335" s="12">
        <v>-222.07</v>
      </c>
      <c r="G335" s="13">
        <v>-0.02620081668867077</v>
      </c>
    </row>
    <row r="336" spans="1:7">
      <c r="A336" s="10" t="s">
        <v>273</v>
      </c>
      <c r="B336" s="10" t="s">
        <v>67</v>
      </c>
      <c r="C336" s="10" t="s">
        <v>275</v>
      </c>
      <c r="D336" s="12">
        <v>692.8099999999999</v>
      </c>
      <c r="E336" s="12">
        <v>686.77</v>
      </c>
      <c r="F336" s="12">
        <v>-6.04</v>
      </c>
      <c r="G336" s="13">
        <v>-0.008718118964795542</v>
      </c>
    </row>
    <row r="337" spans="1:7">
      <c r="A337" s="10" t="s">
        <v>70</v>
      </c>
      <c r="B337" s="10" t="s">
        <v>55</v>
      </c>
      <c r="C337" s="10" t="s">
        <v>80</v>
      </c>
      <c r="D337" s="12">
        <v>857.8099999999999</v>
      </c>
      <c r="E337" s="12">
        <v>0</v>
      </c>
      <c r="F337" s="12">
        <v>-857.8099999999999</v>
      </c>
      <c r="G337" s="13">
        <v>-1</v>
      </c>
    </row>
    <row r="338" spans="1:7">
      <c r="A338" s="10" t="s">
        <v>305</v>
      </c>
      <c r="B338" s="10" t="s">
        <v>67</v>
      </c>
      <c r="C338" s="10" t="s">
        <v>307</v>
      </c>
      <c r="D338" s="12">
        <v>1857.48</v>
      </c>
      <c r="E338" s="12">
        <v>0</v>
      </c>
      <c r="F338" s="12">
        <v>-1857.48</v>
      </c>
      <c r="G338" s="13">
        <v>-1</v>
      </c>
    </row>
    <row r="339" spans="1:7">
      <c r="A339" s="10" t="s">
        <v>289</v>
      </c>
      <c r="B339" s="10" t="s">
        <v>67</v>
      </c>
      <c r="C339" s="10" t="s">
        <v>292</v>
      </c>
      <c r="D339" s="12">
        <v>16788.71</v>
      </c>
      <c r="E339" s="12">
        <v>0</v>
      </c>
      <c r="F339" s="12">
        <v>-16788.71</v>
      </c>
      <c r="G339" s="13">
        <v>-1</v>
      </c>
    </row>
    <row r="340" spans="1:7">
      <c r="A340" s="10" t="s">
        <v>213</v>
      </c>
      <c r="B340" s="10" t="s">
        <v>67</v>
      </c>
      <c r="C340" s="10" t="s">
        <v>226</v>
      </c>
      <c r="D340" s="12">
        <v>12415.26</v>
      </c>
      <c r="E340" s="12">
        <v>0</v>
      </c>
      <c r="F340" s="12">
        <v>-12415.26</v>
      </c>
      <c r="G340" s="13">
        <v>-1</v>
      </c>
    </row>
  </sheetData>
  <autoFilter ref="A1:G34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A6C9"/>
  </sheetPr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5.7109375" customWidth="1"/>
    <col min="3" max="4" width="14.7109375" customWidth="1"/>
    <col min="5" max="7" width="16.7109375" customWidth="1"/>
    <col min="8" max="9" width="12.7109375" customWidth="1"/>
    <col min="10" max="10" width="14.7109375" customWidth="1"/>
    <col min="11" max="11" width="70.7109375" customWidth="1"/>
    <col min="12" max="12" width="21.7109375" customWidth="1"/>
    <col min="13" max="13" width="14.7109375" customWidth="1"/>
  </cols>
  <sheetData>
    <row r="1" spans="1:13">
      <c r="A1" s="11" t="s">
        <v>412</v>
      </c>
      <c r="B1" s="11" t="s">
        <v>28</v>
      </c>
      <c r="C1" s="11" t="s">
        <v>29</v>
      </c>
      <c r="D1" s="11" t="s">
        <v>540</v>
      </c>
      <c r="E1" s="11" t="s">
        <v>413</v>
      </c>
      <c r="F1" s="11" t="s">
        <v>414</v>
      </c>
      <c r="G1" s="11" t="s">
        <v>415</v>
      </c>
      <c r="H1" s="11" t="s">
        <v>416</v>
      </c>
      <c r="I1" s="11" t="s">
        <v>541</v>
      </c>
      <c r="J1" s="11" t="s">
        <v>542</v>
      </c>
      <c r="K1" s="11" t="s">
        <v>543</v>
      </c>
      <c r="L1" s="11" t="s">
        <v>544</v>
      </c>
      <c r="M1" s="11" t="s">
        <v>545</v>
      </c>
    </row>
    <row r="2" spans="1:13">
      <c r="A2" s="10" t="s">
        <v>424</v>
      </c>
      <c r="B2" s="10" t="s">
        <v>54</v>
      </c>
      <c r="C2" s="10" t="s">
        <v>55</v>
      </c>
      <c r="D2" s="10" t="s">
        <v>63</v>
      </c>
      <c r="E2" s="12">
        <v>440441.66</v>
      </c>
      <c r="F2" s="12">
        <v>-2367.7</v>
      </c>
      <c r="G2" s="12">
        <v>-442809.36</v>
      </c>
      <c r="H2" s="13">
        <v>-1.005375740342092</v>
      </c>
      <c r="I2" s="19">
        <v>513</v>
      </c>
      <c r="J2" s="10" t="s">
        <v>428</v>
      </c>
      <c r="K2" s="10" t="s">
        <v>429</v>
      </c>
      <c r="L2" s="10" t="s">
        <v>546</v>
      </c>
      <c r="M2" s="10" t="s">
        <v>547</v>
      </c>
    </row>
    <row r="3" spans="1:13">
      <c r="A3" s="10" t="s">
        <v>430</v>
      </c>
      <c r="B3" s="10" t="s">
        <v>123</v>
      </c>
      <c r="C3" s="10" t="s">
        <v>67</v>
      </c>
      <c r="D3" s="10" t="s">
        <v>128</v>
      </c>
      <c r="E3" s="12">
        <v>1128961.96</v>
      </c>
      <c r="F3" s="12">
        <v>704639.62</v>
      </c>
      <c r="G3" s="12">
        <v>-424322.34</v>
      </c>
      <c r="H3" s="13">
        <v>-0.3758517603197188</v>
      </c>
      <c r="I3" s="19">
        <v>1083</v>
      </c>
      <c r="J3" s="10" t="s">
        <v>428</v>
      </c>
      <c r="K3" s="10" t="s">
        <v>432</v>
      </c>
      <c r="L3" s="10" t="s">
        <v>548</v>
      </c>
      <c r="M3" s="10" t="s">
        <v>549</v>
      </c>
    </row>
    <row r="4" spans="1:13">
      <c r="A4" s="10" t="s">
        <v>433</v>
      </c>
      <c r="B4" s="10" t="s">
        <v>322</v>
      </c>
      <c r="C4" s="10" t="s">
        <v>55</v>
      </c>
      <c r="D4" s="10" t="s">
        <v>353</v>
      </c>
      <c r="E4" s="12">
        <v>716637.09</v>
      </c>
      <c r="F4" s="12">
        <v>321587.31</v>
      </c>
      <c r="G4" s="12">
        <v>-395049.78</v>
      </c>
      <c r="H4" s="13">
        <v>-0.5512550013284967</v>
      </c>
      <c r="I4" s="19">
        <v>268</v>
      </c>
      <c r="J4" s="10" t="s">
        <v>428</v>
      </c>
      <c r="K4" s="10" t="s">
        <v>435</v>
      </c>
      <c r="L4" s="10" t="s">
        <v>550</v>
      </c>
      <c r="M4" s="10" t="s">
        <v>551</v>
      </c>
    </row>
    <row r="5" spans="1:13">
      <c r="A5" s="10" t="s">
        <v>436</v>
      </c>
      <c r="B5" s="10" t="s">
        <v>322</v>
      </c>
      <c r="C5" s="10" t="s">
        <v>55</v>
      </c>
      <c r="D5" s="10" t="s">
        <v>390</v>
      </c>
      <c r="E5" s="12">
        <v>285390.86</v>
      </c>
      <c r="F5" s="12">
        <v>-88890.38</v>
      </c>
      <c r="G5" s="12">
        <v>-374281.24</v>
      </c>
      <c r="H5" s="13">
        <v>-1.311468909691081</v>
      </c>
      <c r="I5" s="19">
        <v>284</v>
      </c>
      <c r="J5" s="10" t="s">
        <v>428</v>
      </c>
      <c r="K5" s="10" t="s">
        <v>438</v>
      </c>
      <c r="L5" s="10" t="s">
        <v>552</v>
      </c>
      <c r="M5" s="10" t="s">
        <v>553</v>
      </c>
    </row>
    <row r="6" spans="1:13">
      <c r="A6" s="10" t="s">
        <v>439</v>
      </c>
      <c r="B6" s="10" t="s">
        <v>266</v>
      </c>
      <c r="C6" s="10" t="s">
        <v>34</v>
      </c>
      <c r="D6" s="10" t="s">
        <v>270</v>
      </c>
      <c r="E6" s="12">
        <v>144966.12</v>
      </c>
      <c r="F6" s="12">
        <v>448730.36</v>
      </c>
      <c r="G6" s="12">
        <v>303764.24</v>
      </c>
      <c r="H6" s="13">
        <v>2.095415397749488</v>
      </c>
      <c r="I6" s="19">
        <v>603</v>
      </c>
      <c r="J6" s="10" t="s">
        <v>428</v>
      </c>
      <c r="K6" s="10" t="s">
        <v>441</v>
      </c>
      <c r="L6" s="10" t="s">
        <v>554</v>
      </c>
      <c r="M6" s="10" t="s">
        <v>555</v>
      </c>
    </row>
    <row r="7" spans="1:13">
      <c r="A7" s="10" t="s">
        <v>18</v>
      </c>
      <c r="B7" s="10"/>
      <c r="C7" s="10"/>
      <c r="D7" s="10"/>
      <c r="E7" s="12">
        <v>24444395.71</v>
      </c>
      <c r="F7" s="12">
        <v>19789467.26</v>
      </c>
      <c r="G7" s="12">
        <v>-4654928.45</v>
      </c>
      <c r="H7" s="13">
        <v>-0.1904292707917385</v>
      </c>
      <c r="I7" s="19">
        <v>55784</v>
      </c>
      <c r="J7" s="10" t="s">
        <v>428</v>
      </c>
      <c r="K7" s="10" t="s">
        <v>445</v>
      </c>
      <c r="L7" s="10" t="s">
        <v>556</v>
      </c>
      <c r="M7" s="10" t="s">
        <v>557</v>
      </c>
    </row>
  </sheetData>
  <autoFilter ref="A1:M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BA6C9"/>
  </sheetPr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  <col min="3" max="5" width="16.7109375" customWidth="1"/>
    <col min="6" max="6" width="12.7109375" customWidth="1"/>
    <col min="7" max="7" width="14.7109375" customWidth="1"/>
  </cols>
  <sheetData>
    <row r="1" spans="1:7">
      <c r="A1" s="11" t="s">
        <v>412</v>
      </c>
      <c r="B1" s="11" t="s">
        <v>558</v>
      </c>
      <c r="C1" s="11" t="s">
        <v>413</v>
      </c>
      <c r="D1" s="11" t="s">
        <v>414</v>
      </c>
      <c r="E1" s="11" t="s">
        <v>415</v>
      </c>
      <c r="F1" s="11" t="s">
        <v>541</v>
      </c>
      <c r="G1" s="11" t="s">
        <v>545</v>
      </c>
    </row>
    <row r="2" spans="1:7">
      <c r="A2" s="10" t="s">
        <v>424</v>
      </c>
      <c r="B2" s="10" t="s">
        <v>559</v>
      </c>
      <c r="C2" s="12">
        <v>127237.05</v>
      </c>
      <c r="D2" s="12">
        <v>0</v>
      </c>
      <c r="E2" s="12">
        <v>-127237.05</v>
      </c>
      <c r="F2" s="19">
        <v>1</v>
      </c>
      <c r="G2" s="10" t="s">
        <v>547</v>
      </c>
    </row>
    <row r="3" spans="1:7">
      <c r="A3" s="10" t="s">
        <v>424</v>
      </c>
      <c r="B3" s="10" t="s">
        <v>560</v>
      </c>
      <c r="C3" s="12">
        <v>0</v>
      </c>
      <c r="D3" s="12">
        <v>-127237.05</v>
      </c>
      <c r="E3" s="12">
        <v>-127237.05</v>
      </c>
      <c r="F3" s="19">
        <v>1</v>
      </c>
      <c r="G3" s="10" t="s">
        <v>547</v>
      </c>
    </row>
    <row r="4" spans="1:7">
      <c r="A4" s="10" t="s">
        <v>424</v>
      </c>
      <c r="B4" s="10" t="s">
        <v>561</v>
      </c>
      <c r="C4" s="12">
        <v>125800.91</v>
      </c>
      <c r="D4" s="12">
        <v>0</v>
      </c>
      <c r="E4" s="12">
        <v>-125800.91</v>
      </c>
      <c r="F4" s="19">
        <v>1</v>
      </c>
      <c r="G4" s="10" t="s">
        <v>547</v>
      </c>
    </row>
    <row r="5" spans="1:7">
      <c r="A5" s="10" t="s">
        <v>424</v>
      </c>
      <c r="B5" s="10" t="s">
        <v>562</v>
      </c>
      <c r="C5" s="12">
        <v>0</v>
      </c>
      <c r="D5" s="12">
        <v>-125800.91</v>
      </c>
      <c r="E5" s="12">
        <v>-125800.91</v>
      </c>
      <c r="F5" s="19">
        <v>1</v>
      </c>
      <c r="G5" s="10" t="s">
        <v>547</v>
      </c>
    </row>
    <row r="6" spans="1:7">
      <c r="A6" s="10" t="s">
        <v>424</v>
      </c>
      <c r="B6" s="10" t="s">
        <v>563</v>
      </c>
      <c r="C6" s="12">
        <v>36053.72</v>
      </c>
      <c r="D6" s="12">
        <v>0</v>
      </c>
      <c r="E6" s="12">
        <v>-36053.72</v>
      </c>
      <c r="F6" s="19">
        <v>6</v>
      </c>
      <c r="G6" s="10" t="s">
        <v>547</v>
      </c>
    </row>
    <row r="7" spans="1:7">
      <c r="A7" s="10" t="s">
        <v>424</v>
      </c>
      <c r="B7" s="10" t="s">
        <v>564</v>
      </c>
      <c r="C7" s="12">
        <v>151349.98</v>
      </c>
      <c r="D7" s="12">
        <v>250670.26</v>
      </c>
      <c r="E7" s="12">
        <v>99320.28</v>
      </c>
      <c r="F7" s="19">
        <v>503</v>
      </c>
      <c r="G7" s="10" t="s">
        <v>547</v>
      </c>
    </row>
    <row r="8" spans="1:7">
      <c r="A8" s="10" t="s">
        <v>430</v>
      </c>
      <c r="B8" s="10" t="s">
        <v>565</v>
      </c>
      <c r="C8" s="12">
        <v>-126684</v>
      </c>
      <c r="D8" s="12">
        <v>0</v>
      </c>
      <c r="E8" s="12">
        <v>126684</v>
      </c>
      <c r="F8" s="19">
        <v>1</v>
      </c>
      <c r="G8" s="10" t="s">
        <v>549</v>
      </c>
    </row>
    <row r="9" spans="1:7">
      <c r="A9" s="10" t="s">
        <v>430</v>
      </c>
      <c r="B9" s="10" t="s">
        <v>566</v>
      </c>
      <c r="C9" s="12">
        <v>125982</v>
      </c>
      <c r="D9" s="12">
        <v>0</v>
      </c>
      <c r="E9" s="12">
        <v>-125982</v>
      </c>
      <c r="F9" s="19">
        <v>1</v>
      </c>
      <c r="G9" s="10" t="s">
        <v>549</v>
      </c>
    </row>
    <row r="10" spans="1:7">
      <c r="A10" s="10" t="s">
        <v>430</v>
      </c>
      <c r="B10" s="10" t="s">
        <v>567</v>
      </c>
      <c r="C10" s="12">
        <v>-108502.5</v>
      </c>
      <c r="D10" s="12">
        <v>0</v>
      </c>
      <c r="E10" s="12">
        <v>108502.5</v>
      </c>
      <c r="F10" s="19">
        <v>1</v>
      </c>
      <c r="G10" s="10" t="s">
        <v>549</v>
      </c>
    </row>
    <row r="11" spans="1:7">
      <c r="A11" s="10" t="s">
        <v>430</v>
      </c>
      <c r="B11" s="10" t="s">
        <v>568</v>
      </c>
      <c r="C11" s="12">
        <v>107901.25</v>
      </c>
      <c r="D11" s="12">
        <v>0</v>
      </c>
      <c r="E11" s="12">
        <v>-107901.25</v>
      </c>
      <c r="F11" s="19">
        <v>1</v>
      </c>
      <c r="G11" s="10" t="s">
        <v>549</v>
      </c>
    </row>
    <row r="12" spans="1:7">
      <c r="A12" s="10" t="s">
        <v>430</v>
      </c>
      <c r="B12" s="10" t="s">
        <v>569</v>
      </c>
      <c r="C12" s="12">
        <v>90267.09</v>
      </c>
      <c r="D12" s="12">
        <v>0</v>
      </c>
      <c r="E12" s="12">
        <v>-90267.09</v>
      </c>
      <c r="F12" s="19">
        <v>1</v>
      </c>
      <c r="G12" s="10" t="s">
        <v>549</v>
      </c>
    </row>
    <row r="13" spans="1:7">
      <c r="A13" s="10" t="s">
        <v>430</v>
      </c>
      <c r="B13" s="10" t="s">
        <v>564</v>
      </c>
      <c r="C13" s="12">
        <v>1039998.12</v>
      </c>
      <c r="D13" s="12">
        <v>704639.62</v>
      </c>
      <c r="E13" s="12">
        <v>-335358.5</v>
      </c>
      <c r="F13" s="19">
        <v>1078</v>
      </c>
      <c r="G13" s="10" t="s">
        <v>549</v>
      </c>
    </row>
    <row r="14" spans="1:7">
      <c r="A14" s="10" t="s">
        <v>433</v>
      </c>
      <c r="B14" s="10" t="s">
        <v>570</v>
      </c>
      <c r="C14" s="12">
        <v>224000</v>
      </c>
      <c r="D14" s="12">
        <v>0</v>
      </c>
      <c r="E14" s="12">
        <v>-224000</v>
      </c>
      <c r="F14" s="19">
        <v>1</v>
      </c>
      <c r="G14" s="10" t="s">
        <v>551</v>
      </c>
    </row>
    <row r="15" spans="1:7">
      <c r="A15" s="10" t="s">
        <v>433</v>
      </c>
      <c r="B15" s="10" t="s">
        <v>571</v>
      </c>
      <c r="C15" s="12">
        <v>0</v>
      </c>
      <c r="D15" s="12">
        <v>-224000</v>
      </c>
      <c r="E15" s="12">
        <v>-224000</v>
      </c>
      <c r="F15" s="19">
        <v>1</v>
      </c>
      <c r="G15" s="10" t="s">
        <v>551</v>
      </c>
    </row>
    <row r="16" spans="1:7">
      <c r="A16" s="10" t="s">
        <v>433</v>
      </c>
      <c r="B16" s="10" t="s">
        <v>572</v>
      </c>
      <c r="C16" s="12">
        <v>0</v>
      </c>
      <c r="D16" s="12">
        <v>224000</v>
      </c>
      <c r="E16" s="12">
        <v>224000</v>
      </c>
      <c r="F16" s="19">
        <v>1</v>
      </c>
      <c r="G16" s="10" t="s">
        <v>551</v>
      </c>
    </row>
    <row r="17" spans="1:7">
      <c r="A17" s="10" t="s">
        <v>433</v>
      </c>
      <c r="B17" s="10" t="s">
        <v>573</v>
      </c>
      <c r="C17" s="12">
        <v>-150000</v>
      </c>
      <c r="D17" s="12">
        <v>0</v>
      </c>
      <c r="E17" s="12">
        <v>150000</v>
      </c>
      <c r="F17" s="19">
        <v>1</v>
      </c>
      <c r="G17" s="10" t="s">
        <v>551</v>
      </c>
    </row>
    <row r="18" spans="1:7">
      <c r="A18" s="10" t="s">
        <v>433</v>
      </c>
      <c r="B18" s="10" t="s">
        <v>574</v>
      </c>
      <c r="C18" s="12">
        <v>150000</v>
      </c>
      <c r="D18" s="12">
        <v>0</v>
      </c>
      <c r="E18" s="12">
        <v>-150000</v>
      </c>
      <c r="F18" s="19">
        <v>1</v>
      </c>
      <c r="G18" s="10" t="s">
        <v>551</v>
      </c>
    </row>
    <row r="19" spans="1:7">
      <c r="A19" s="10" t="s">
        <v>433</v>
      </c>
      <c r="B19" s="10" t="s">
        <v>564</v>
      </c>
      <c r="C19" s="12">
        <v>492637.09</v>
      </c>
      <c r="D19" s="12">
        <v>321587.31</v>
      </c>
      <c r="E19" s="12">
        <v>-171049.78</v>
      </c>
      <c r="F19" s="19">
        <v>263</v>
      </c>
      <c r="G19" s="10" t="s">
        <v>551</v>
      </c>
    </row>
    <row r="20" spans="1:7">
      <c r="A20" s="10" t="s">
        <v>436</v>
      </c>
      <c r="B20" s="10" t="s">
        <v>428</v>
      </c>
      <c r="C20" s="12">
        <v>140000</v>
      </c>
      <c r="D20" s="12">
        <v>-140000</v>
      </c>
      <c r="E20" s="12">
        <v>-280000</v>
      </c>
      <c r="F20" s="19">
        <v>2</v>
      </c>
      <c r="G20" s="10" t="s">
        <v>553</v>
      </c>
    </row>
    <row r="21" spans="1:7">
      <c r="A21" s="10" t="s">
        <v>436</v>
      </c>
      <c r="B21" s="10" t="s">
        <v>575</v>
      </c>
      <c r="C21" s="12">
        <v>29362.39</v>
      </c>
      <c r="D21" s="12">
        <v>0</v>
      </c>
      <c r="E21" s="12">
        <v>-29362.39</v>
      </c>
      <c r="F21" s="19">
        <v>2</v>
      </c>
      <c r="G21" s="10" t="s">
        <v>553</v>
      </c>
    </row>
    <row r="22" spans="1:7">
      <c r="A22" s="10" t="s">
        <v>436</v>
      </c>
      <c r="B22" s="10" t="s">
        <v>576</v>
      </c>
      <c r="C22" s="12">
        <v>0</v>
      </c>
      <c r="D22" s="12">
        <v>22124.69</v>
      </c>
      <c r="E22" s="12">
        <v>22124.69</v>
      </c>
      <c r="F22" s="19">
        <v>2</v>
      </c>
      <c r="G22" s="10" t="s">
        <v>553</v>
      </c>
    </row>
    <row r="23" spans="1:7">
      <c r="A23" s="10" t="s">
        <v>436</v>
      </c>
      <c r="B23" s="10" t="s">
        <v>577</v>
      </c>
      <c r="C23" s="12">
        <v>-19142.64</v>
      </c>
      <c r="D23" s="12">
        <v>0</v>
      </c>
      <c r="E23" s="12">
        <v>19142.64</v>
      </c>
      <c r="F23" s="19">
        <v>1</v>
      </c>
      <c r="G23" s="10" t="s">
        <v>553</v>
      </c>
    </row>
    <row r="24" spans="1:7">
      <c r="A24" s="10" t="s">
        <v>436</v>
      </c>
      <c r="B24" s="10" t="s">
        <v>578</v>
      </c>
      <c r="C24" s="12">
        <v>19142.64</v>
      </c>
      <c r="D24" s="12">
        <v>0</v>
      </c>
      <c r="E24" s="12">
        <v>-19142.64</v>
      </c>
      <c r="F24" s="19">
        <v>1</v>
      </c>
      <c r="G24" s="10" t="s">
        <v>553</v>
      </c>
    </row>
    <row r="25" spans="1:7">
      <c r="A25" s="10" t="s">
        <v>436</v>
      </c>
      <c r="B25" s="10" t="s">
        <v>564</v>
      </c>
      <c r="C25" s="12">
        <v>116028.47</v>
      </c>
      <c r="D25" s="12">
        <v>28984.93</v>
      </c>
      <c r="E25" s="12">
        <v>-87043.53999999999</v>
      </c>
      <c r="F25" s="19">
        <v>276</v>
      </c>
      <c r="G25" s="10" t="s">
        <v>553</v>
      </c>
    </row>
    <row r="26" spans="1:7">
      <c r="A26" s="10" t="s">
        <v>439</v>
      </c>
      <c r="B26" s="10" t="s">
        <v>579</v>
      </c>
      <c r="C26" s="12">
        <v>0</v>
      </c>
      <c r="D26" s="12">
        <v>92750.03999999999</v>
      </c>
      <c r="E26" s="12">
        <v>92750.03999999999</v>
      </c>
      <c r="F26" s="19">
        <v>5</v>
      </c>
      <c r="G26" s="10" t="s">
        <v>555</v>
      </c>
    </row>
    <row r="27" spans="1:7">
      <c r="A27" s="10" t="s">
        <v>439</v>
      </c>
      <c r="B27" s="10" t="s">
        <v>580</v>
      </c>
      <c r="C27" s="12">
        <v>0</v>
      </c>
      <c r="D27" s="12">
        <v>71471.63</v>
      </c>
      <c r="E27" s="12">
        <v>71471.63</v>
      </c>
      <c r="F27" s="19">
        <v>1</v>
      </c>
      <c r="G27" s="10" t="s">
        <v>555</v>
      </c>
    </row>
    <row r="28" spans="1:7">
      <c r="A28" s="10" t="s">
        <v>439</v>
      </c>
      <c r="B28" s="10" t="s">
        <v>581</v>
      </c>
      <c r="C28" s="12">
        <v>0</v>
      </c>
      <c r="D28" s="12">
        <v>51630.85</v>
      </c>
      <c r="E28" s="12">
        <v>51630.85</v>
      </c>
      <c r="F28" s="19">
        <v>1</v>
      </c>
      <c r="G28" s="10" t="s">
        <v>555</v>
      </c>
    </row>
    <row r="29" spans="1:7">
      <c r="A29" s="10" t="s">
        <v>439</v>
      </c>
      <c r="B29" s="10" t="s">
        <v>582</v>
      </c>
      <c r="C29" s="12">
        <v>0</v>
      </c>
      <c r="D29" s="12">
        <v>38693.52</v>
      </c>
      <c r="E29" s="12">
        <v>38693.52</v>
      </c>
      <c r="F29" s="19">
        <v>1</v>
      </c>
      <c r="G29" s="10" t="s">
        <v>555</v>
      </c>
    </row>
    <row r="30" spans="1:7">
      <c r="A30" s="10" t="s">
        <v>439</v>
      </c>
      <c r="B30" s="10" t="s">
        <v>583</v>
      </c>
      <c r="C30" s="12">
        <v>33623.26</v>
      </c>
      <c r="D30" s="12">
        <v>0</v>
      </c>
      <c r="E30" s="12">
        <v>-33623.26</v>
      </c>
      <c r="F30" s="19">
        <v>1</v>
      </c>
      <c r="G30" s="10" t="s">
        <v>555</v>
      </c>
    </row>
    <row r="31" spans="1:7">
      <c r="A31" s="10" t="s">
        <v>439</v>
      </c>
      <c r="B31" s="10" t="s">
        <v>564</v>
      </c>
      <c r="C31" s="12">
        <v>111342.86</v>
      </c>
      <c r="D31" s="12">
        <v>194184.32</v>
      </c>
      <c r="E31" s="12">
        <v>82841.46000000001</v>
      </c>
      <c r="F31" s="19">
        <v>594</v>
      </c>
      <c r="G31" s="10" t="s">
        <v>555</v>
      </c>
    </row>
    <row r="32" spans="1:7">
      <c r="A32" s="10" t="s">
        <v>18</v>
      </c>
      <c r="B32" s="10" t="s">
        <v>428</v>
      </c>
      <c r="C32" s="12">
        <v>401629.54</v>
      </c>
      <c r="D32" s="12">
        <v>109986.61</v>
      </c>
      <c r="E32" s="12">
        <v>-291642.93</v>
      </c>
      <c r="F32" s="19">
        <v>2198</v>
      </c>
      <c r="G32" s="10" t="s">
        <v>557</v>
      </c>
    </row>
    <row r="33" spans="1:7">
      <c r="A33" s="10" t="s">
        <v>18</v>
      </c>
      <c r="B33" s="10" t="s">
        <v>584</v>
      </c>
      <c r="C33" s="12">
        <v>-220232.05</v>
      </c>
      <c r="D33" s="12">
        <v>0</v>
      </c>
      <c r="E33" s="12">
        <v>220232.05</v>
      </c>
      <c r="F33" s="19">
        <v>1</v>
      </c>
      <c r="G33" s="10" t="s">
        <v>557</v>
      </c>
    </row>
    <row r="34" spans="1:7">
      <c r="A34" s="10" t="s">
        <v>18</v>
      </c>
      <c r="B34" s="10" t="s">
        <v>585</v>
      </c>
      <c r="C34" s="12">
        <v>220232.05</v>
      </c>
      <c r="D34" s="12">
        <v>0</v>
      </c>
      <c r="E34" s="12">
        <v>-220232.05</v>
      </c>
      <c r="F34" s="19">
        <v>1</v>
      </c>
      <c r="G34" s="10" t="s">
        <v>557</v>
      </c>
    </row>
    <row r="35" spans="1:7">
      <c r="A35" s="10" t="s">
        <v>18</v>
      </c>
      <c r="B35" s="10" t="s">
        <v>586</v>
      </c>
      <c r="C35" s="12">
        <v>0</v>
      </c>
      <c r="D35" s="12">
        <v>-220232.05</v>
      </c>
      <c r="E35" s="12">
        <v>-220232.05</v>
      </c>
      <c r="F35" s="19">
        <v>1</v>
      </c>
      <c r="G35" s="10" t="s">
        <v>557</v>
      </c>
    </row>
    <row r="36" spans="1:7">
      <c r="A36" s="10" t="s">
        <v>18</v>
      </c>
      <c r="B36" s="10" t="s">
        <v>587</v>
      </c>
      <c r="C36" s="12">
        <v>0</v>
      </c>
      <c r="D36" s="12">
        <v>220232.05</v>
      </c>
      <c r="E36" s="12">
        <v>220232.05</v>
      </c>
      <c r="F36" s="19">
        <v>1</v>
      </c>
      <c r="G36" s="10" t="s">
        <v>557</v>
      </c>
    </row>
    <row r="37" spans="1:7">
      <c r="A37" s="10" t="s">
        <v>18</v>
      </c>
      <c r="B37" s="10" t="s">
        <v>564</v>
      </c>
      <c r="C37" s="12">
        <v>24042766.17</v>
      </c>
      <c r="D37" s="12">
        <v>19679480.65</v>
      </c>
      <c r="E37" s="12">
        <v>-4363285.52</v>
      </c>
      <c r="F37" s="19">
        <v>53582</v>
      </c>
      <c r="G37" s="10" t="s">
        <v>557</v>
      </c>
    </row>
  </sheetData>
  <autoFilter ref="A1:G3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588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589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AA0A6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59.7109375" customWidth="1"/>
    <col min="4" max="4" width="70.7109375" customWidth="1"/>
  </cols>
  <sheetData>
    <row r="1" spans="1:4">
      <c r="A1" s="11" t="s">
        <v>507</v>
      </c>
      <c r="B1" s="11" t="s">
        <v>511</v>
      </c>
      <c r="C1" s="11" t="s">
        <v>590</v>
      </c>
      <c r="D1" s="11" t="s">
        <v>591</v>
      </c>
    </row>
    <row r="2" spans="1:4">
      <c r="A2" s="10" t="s">
        <v>515</v>
      </c>
      <c r="B2" s="10" t="s">
        <v>516</v>
      </c>
      <c r="C2" s="10" t="s">
        <v>517</v>
      </c>
      <c r="D2" s="10" t="s">
        <v>592</v>
      </c>
    </row>
    <row r="3" spans="1:4">
      <c r="A3" s="10" t="s">
        <v>518</v>
      </c>
      <c r="B3" s="10" t="s">
        <v>516</v>
      </c>
      <c r="C3" s="10" t="s">
        <v>519</v>
      </c>
      <c r="D3" s="10" t="s">
        <v>593</v>
      </c>
    </row>
    <row r="4" spans="1:4">
      <c r="A4" s="10" t="s">
        <v>520</v>
      </c>
      <c r="B4" s="10" t="s">
        <v>516</v>
      </c>
      <c r="C4" s="10" t="s">
        <v>521</v>
      </c>
      <c r="D4" s="10" t="s">
        <v>594</v>
      </c>
    </row>
    <row r="5" spans="1:4">
      <c r="A5" s="10" t="s">
        <v>522</v>
      </c>
      <c r="B5" s="10" t="s">
        <v>523</v>
      </c>
      <c r="C5" s="10" t="s">
        <v>524</v>
      </c>
      <c r="D5" s="10" t="s">
        <v>595</v>
      </c>
    </row>
    <row r="6" spans="1:4">
      <c r="A6" s="10" t="s">
        <v>525</v>
      </c>
      <c r="B6" s="10" t="s">
        <v>516</v>
      </c>
      <c r="C6" s="10" t="s">
        <v>526</v>
      </c>
      <c r="D6" s="10" t="s">
        <v>596</v>
      </c>
    </row>
    <row r="7" spans="1:4">
      <c r="A7" s="10" t="s">
        <v>527</v>
      </c>
      <c r="B7" s="10" t="s">
        <v>516</v>
      </c>
      <c r="C7" s="10" t="s">
        <v>528</v>
      </c>
      <c r="D7" s="10" t="s">
        <v>596</v>
      </c>
    </row>
    <row r="8" spans="1:4">
      <c r="A8" s="10" t="s">
        <v>529</v>
      </c>
      <c r="B8" s="10" t="s">
        <v>516</v>
      </c>
      <c r="C8" s="10" t="s">
        <v>530</v>
      </c>
      <c r="D8" s="10" t="s">
        <v>596</v>
      </c>
    </row>
    <row r="9" spans="1:4">
      <c r="A9" s="10" t="s">
        <v>531</v>
      </c>
      <c r="B9" s="10" t="s">
        <v>516</v>
      </c>
      <c r="C9" s="10" t="s">
        <v>532</v>
      </c>
      <c r="D9" s="10" t="s">
        <v>597</v>
      </c>
    </row>
    <row r="10" spans="1:4">
      <c r="A10" s="10" t="s">
        <v>533</v>
      </c>
      <c r="B10" s="10" t="s">
        <v>516</v>
      </c>
      <c r="C10" s="10" t="s">
        <v>534</v>
      </c>
      <c r="D10" s="10" t="s">
        <v>596</v>
      </c>
    </row>
    <row r="11" spans="1:4">
      <c r="A11" s="10" t="s">
        <v>535</v>
      </c>
      <c r="B11" s="10" t="s">
        <v>516</v>
      </c>
      <c r="C11" s="10" t="s">
        <v>536</v>
      </c>
      <c r="D11" s="10" t="s">
        <v>596</v>
      </c>
    </row>
    <row r="12" spans="1:4">
      <c r="A12" s="10" t="s">
        <v>537</v>
      </c>
      <c r="B12" s="10" t="s">
        <v>516</v>
      </c>
      <c r="C12" s="10" t="s">
        <v>538</v>
      </c>
      <c r="D12" s="10" t="s">
        <v>596</v>
      </c>
    </row>
  </sheetData>
  <autoFilter ref="A1:D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AA0A6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50.7109375" customWidth="1"/>
    <col min="4" max="4" width="28.7109375" customWidth="1"/>
    <col min="5" max="6" width="14.7109375" customWidth="1"/>
    <col min="7" max="7" width="70.7109375" customWidth="1"/>
  </cols>
  <sheetData>
    <row r="1" spans="1:7">
      <c r="A1" s="11" t="s">
        <v>598</v>
      </c>
      <c r="B1" s="11" t="s">
        <v>599</v>
      </c>
      <c r="C1" s="11" t="s">
        <v>600</v>
      </c>
      <c r="D1" s="11" t="s">
        <v>601</v>
      </c>
      <c r="E1" s="11" t="s">
        <v>602</v>
      </c>
      <c r="F1" s="11" t="s">
        <v>603</v>
      </c>
      <c r="G1" s="11" t="s">
        <v>604</v>
      </c>
    </row>
    <row r="2" spans="1:7">
      <c r="A2" s="16">
        <v>46323.59739132694</v>
      </c>
      <c r="B2" s="10" t="s">
        <v>605</v>
      </c>
      <c r="C2" s="10" t="s">
        <v>606</v>
      </c>
      <c r="D2" s="10" t="s">
        <v>607</v>
      </c>
      <c r="E2" s="10" t="s">
        <v>608</v>
      </c>
      <c r="F2" s="10"/>
      <c r="G2" s="10" t="s">
        <v>596</v>
      </c>
    </row>
    <row r="3" spans="1:7">
      <c r="A3" s="16">
        <v>46323.59739132694</v>
      </c>
      <c r="B3" s="10" t="s">
        <v>605</v>
      </c>
      <c r="C3" s="10" t="s">
        <v>606</v>
      </c>
      <c r="D3" s="10" t="s">
        <v>609</v>
      </c>
      <c r="E3" s="10" t="s">
        <v>608</v>
      </c>
      <c r="F3" s="10"/>
      <c r="G3" s="10" t="s">
        <v>610</v>
      </c>
    </row>
    <row r="4" spans="1:7">
      <c r="A4" s="16">
        <v>46323.59774430464</v>
      </c>
      <c r="B4" s="10" t="s">
        <v>611</v>
      </c>
      <c r="C4" s="10" t="s">
        <v>612</v>
      </c>
      <c r="D4" s="10" t="s">
        <v>613</v>
      </c>
      <c r="E4" s="10" t="s">
        <v>614</v>
      </c>
      <c r="F4" s="10" t="s">
        <v>615</v>
      </c>
      <c r="G4" s="10" t="s">
        <v>616</v>
      </c>
    </row>
    <row r="5" spans="1:7">
      <c r="A5" s="16">
        <v>46323.59774430464</v>
      </c>
      <c r="B5" s="10" t="s">
        <v>611</v>
      </c>
      <c r="C5" s="10" t="s">
        <v>612</v>
      </c>
      <c r="D5" s="10" t="s">
        <v>617</v>
      </c>
      <c r="E5" s="10" t="s">
        <v>614</v>
      </c>
      <c r="F5" s="10" t="s">
        <v>615</v>
      </c>
      <c r="G5" s="10" t="s">
        <v>618</v>
      </c>
    </row>
    <row r="6" spans="1:7">
      <c r="A6" s="16">
        <v>46323.59774430464</v>
      </c>
      <c r="B6" s="10" t="s">
        <v>611</v>
      </c>
      <c r="C6" s="10" t="s">
        <v>612</v>
      </c>
      <c r="D6" s="10" t="s">
        <v>619</v>
      </c>
      <c r="E6" s="10" t="s">
        <v>614</v>
      </c>
      <c r="F6" s="10" t="s">
        <v>620</v>
      </c>
      <c r="G6" s="10" t="s">
        <v>7</v>
      </c>
    </row>
    <row r="7" spans="1:7">
      <c r="A7" s="16">
        <v>46323.59774430464</v>
      </c>
      <c r="B7" s="10" t="s">
        <v>611</v>
      </c>
      <c r="C7" s="10" t="s">
        <v>612</v>
      </c>
      <c r="D7" s="10" t="s">
        <v>621</v>
      </c>
      <c r="E7" s="10" t="s">
        <v>608</v>
      </c>
      <c r="F7" s="10"/>
      <c r="G7" s="10" t="s">
        <v>622</v>
      </c>
    </row>
    <row r="8" spans="1:7">
      <c r="A8" s="16">
        <v>46323.59774430464</v>
      </c>
      <c r="B8" s="10" t="s">
        <v>611</v>
      </c>
      <c r="C8" s="10" t="s">
        <v>612</v>
      </c>
      <c r="D8" s="10" t="s">
        <v>623</v>
      </c>
      <c r="E8" s="10" t="s">
        <v>608</v>
      </c>
      <c r="F8" s="10"/>
      <c r="G8" s="10" t="s">
        <v>624</v>
      </c>
    </row>
    <row r="9" spans="1:7">
      <c r="A9" s="16">
        <v>46323.59774430464</v>
      </c>
      <c r="B9" s="10" t="s">
        <v>611</v>
      </c>
      <c r="C9" s="10" t="s">
        <v>612</v>
      </c>
      <c r="D9" s="10" t="s">
        <v>625</v>
      </c>
      <c r="E9" s="10" t="s">
        <v>608</v>
      </c>
      <c r="F9" s="10"/>
      <c r="G9" s="10" t="s">
        <v>626</v>
      </c>
    </row>
    <row r="10" spans="1:7">
      <c r="A10" s="16">
        <v>46323.59774430464</v>
      </c>
      <c r="B10" s="10" t="s">
        <v>611</v>
      </c>
      <c r="C10" s="10" t="s">
        <v>612</v>
      </c>
      <c r="D10" s="10" t="s">
        <v>627</v>
      </c>
      <c r="E10" s="10" t="s">
        <v>608</v>
      </c>
      <c r="F10" s="10"/>
      <c r="G10" s="10" t="s">
        <v>628</v>
      </c>
    </row>
    <row r="11" spans="1:7">
      <c r="A11" s="16">
        <v>46323.59774430464</v>
      </c>
      <c r="B11" s="10" t="s">
        <v>611</v>
      </c>
      <c r="C11" s="10" t="s">
        <v>612</v>
      </c>
      <c r="D11" s="10" t="s">
        <v>629</v>
      </c>
      <c r="E11" s="10" t="s">
        <v>614</v>
      </c>
      <c r="F11" s="10" t="s">
        <v>615</v>
      </c>
      <c r="G11" s="10" t="s">
        <v>630</v>
      </c>
    </row>
    <row r="12" spans="1:7">
      <c r="A12" s="16">
        <v>46323.59774430464</v>
      </c>
      <c r="B12" s="10" t="s">
        <v>611</v>
      </c>
      <c r="C12" s="10" t="s">
        <v>612</v>
      </c>
      <c r="D12" s="10" t="s">
        <v>631</v>
      </c>
      <c r="E12" s="10" t="s">
        <v>614</v>
      </c>
      <c r="F12" s="10" t="s">
        <v>615</v>
      </c>
      <c r="G12" s="10" t="s">
        <v>632</v>
      </c>
    </row>
    <row r="13" spans="1:7">
      <c r="A13" s="16">
        <v>46323.59774430464</v>
      </c>
      <c r="B13" s="10" t="s">
        <v>611</v>
      </c>
      <c r="C13" s="10" t="s">
        <v>612</v>
      </c>
      <c r="D13" s="10" t="s">
        <v>633</v>
      </c>
      <c r="E13" s="10" t="s">
        <v>614</v>
      </c>
      <c r="F13" s="10"/>
      <c r="G13" s="10" t="s">
        <v>634</v>
      </c>
    </row>
    <row r="14" spans="1:7">
      <c r="A14" s="16">
        <v>46323.59774430464</v>
      </c>
      <c r="B14" s="10" t="s">
        <v>611</v>
      </c>
      <c r="C14" s="10" t="s">
        <v>612</v>
      </c>
      <c r="D14" s="10" t="s">
        <v>635</v>
      </c>
      <c r="E14" s="10" t="s">
        <v>614</v>
      </c>
      <c r="F14" s="10"/>
      <c r="G14" s="10" t="s">
        <v>636</v>
      </c>
    </row>
    <row r="15" spans="1:7">
      <c r="A15" s="16">
        <v>46323.59774430464</v>
      </c>
      <c r="B15" s="10" t="s">
        <v>611</v>
      </c>
      <c r="C15" s="10" t="s">
        <v>612</v>
      </c>
      <c r="D15" s="10" t="s">
        <v>637</v>
      </c>
      <c r="E15" s="10" t="s">
        <v>614</v>
      </c>
      <c r="F15" s="10" t="s">
        <v>615</v>
      </c>
      <c r="G15" s="10" t="s">
        <v>638</v>
      </c>
    </row>
    <row r="16" spans="1:7">
      <c r="A16" s="16">
        <v>46323.59926793009</v>
      </c>
      <c r="B16" s="10" t="s">
        <v>605</v>
      </c>
      <c r="C16" s="10" t="s">
        <v>639</v>
      </c>
      <c r="D16" s="10" t="s">
        <v>640</v>
      </c>
      <c r="E16" s="10" t="s">
        <v>608</v>
      </c>
      <c r="F16" s="10"/>
      <c r="G16" s="10" t="s">
        <v>641</v>
      </c>
    </row>
  </sheetData>
  <autoFilter ref="A1:G16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AA0A6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642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AA0A6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</cols>
  <sheetData>
    <row r="1" spans="1:2">
      <c r="A1" s="11" t="s">
        <v>643</v>
      </c>
      <c r="B1" s="11" t="s">
        <v>644</v>
      </c>
    </row>
    <row r="2" spans="1:2">
      <c r="A2" s="10" t="s">
        <v>3</v>
      </c>
      <c r="B2" s="10" t="s">
        <v>4</v>
      </c>
    </row>
    <row r="3" spans="1:2">
      <c r="A3" s="10" t="s">
        <v>5</v>
      </c>
      <c r="B3" s="10" t="s">
        <v>645</v>
      </c>
    </row>
    <row r="4" spans="1:2">
      <c r="A4" s="10" t="s">
        <v>646</v>
      </c>
      <c r="B4" s="10" t="s">
        <v>647</v>
      </c>
    </row>
    <row r="5" spans="1:2">
      <c r="A5" s="10" t="s">
        <v>648</v>
      </c>
      <c r="B5" s="10" t="s">
        <v>649</v>
      </c>
    </row>
    <row r="6" spans="1:2">
      <c r="A6" s="10" t="s">
        <v>25</v>
      </c>
      <c r="B6" s="10" t="s">
        <v>26</v>
      </c>
    </row>
    <row r="7" spans="1:2">
      <c r="A7" s="10" t="s">
        <v>650</v>
      </c>
      <c r="B7" s="10" t="s">
        <v>651</v>
      </c>
    </row>
  </sheetData>
  <autoFilter ref="A1:B7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AA0A6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652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AA0A6"/>
  </sheetPr>
  <dimension ref="A1:A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</cols>
  <sheetData>
    <row r="1" spans="1:1">
      <c r="A1" s="11" t="s">
        <v>653</v>
      </c>
    </row>
    <row r="2" spans="1:1">
      <c r="A2" s="10" t="s">
        <v>654</v>
      </c>
    </row>
    <row r="3" spans="1:1">
      <c r="A3" s="10" t="s">
        <v>655</v>
      </c>
    </row>
    <row r="4" spans="1:1">
      <c r="A4" s="10" t="s">
        <v>656</v>
      </c>
    </row>
    <row r="5" spans="1:1">
      <c r="A5" s="10" t="s">
        <v>657</v>
      </c>
    </row>
    <row r="6" spans="1:1">
      <c r="A6" s="10" t="s">
        <v>658</v>
      </c>
    </row>
    <row r="7" spans="1:1">
      <c r="A7" s="10" t="s">
        <v>659</v>
      </c>
    </row>
    <row r="8" spans="1:1">
      <c r="A8" s="10" t="s">
        <v>660</v>
      </c>
    </row>
    <row r="9" spans="1:1">
      <c r="A9" s="10" t="s">
        <v>661</v>
      </c>
    </row>
    <row r="10" spans="1:1">
      <c r="A10" s="10" t="s">
        <v>662</v>
      </c>
    </row>
    <row r="11" spans="1:1">
      <c r="A11" s="10" t="s">
        <v>663</v>
      </c>
    </row>
    <row r="12" spans="1:1">
      <c r="A12" s="10" t="s">
        <v>664</v>
      </c>
    </row>
    <row r="13" spans="1:1">
      <c r="A13" s="10" t="s">
        <v>665</v>
      </c>
    </row>
    <row r="14" spans="1:1">
      <c r="A14" s="10" t="s">
        <v>666</v>
      </c>
    </row>
    <row r="15" spans="1:1">
      <c r="A15" s="10" t="s">
        <v>667</v>
      </c>
    </row>
    <row r="16" spans="1:1">
      <c r="A16" s="10" t="s">
        <v>668</v>
      </c>
    </row>
    <row r="17" spans="1:1">
      <c r="A17" s="10" t="s">
        <v>669</v>
      </c>
    </row>
    <row r="18" spans="1:1">
      <c r="A18" s="10" t="s">
        <v>670</v>
      </c>
    </row>
    <row r="19" spans="1:1">
      <c r="A19" s="10" t="s">
        <v>671</v>
      </c>
    </row>
    <row r="20" spans="1:1">
      <c r="A20" s="10" t="s">
        <v>672</v>
      </c>
    </row>
    <row r="21" spans="1:1">
      <c r="A21" s="10" t="s">
        <v>673</v>
      </c>
    </row>
    <row r="22" spans="1:1">
      <c r="A22" s="10" t="s">
        <v>674</v>
      </c>
    </row>
    <row r="23" spans="1:1">
      <c r="A23" s="10" t="s">
        <v>675</v>
      </c>
    </row>
    <row r="24" spans="1:1">
      <c r="A24" s="10" t="s">
        <v>676</v>
      </c>
    </row>
    <row r="25" spans="1:1">
      <c r="A25" s="10" t="s">
        <v>677</v>
      </c>
    </row>
    <row r="26" spans="1:1">
      <c r="A26" s="10" t="s">
        <v>659</v>
      </c>
    </row>
    <row r="27" spans="1:1">
      <c r="A27" s="10" t="s">
        <v>678</v>
      </c>
    </row>
    <row r="28" spans="1:1">
      <c r="A28" s="10" t="s">
        <v>679</v>
      </c>
    </row>
    <row r="29" spans="1:1">
      <c r="A29" s="10" t="s">
        <v>680</v>
      </c>
    </row>
    <row r="30" spans="1:1">
      <c r="A30" s="10" t="s">
        <v>681</v>
      </c>
    </row>
    <row r="31" spans="1:1">
      <c r="A31" s="10" t="s">
        <v>682</v>
      </c>
    </row>
    <row r="32" spans="1:1">
      <c r="A32" s="10" t="s">
        <v>683</v>
      </c>
    </row>
    <row r="33" spans="1:1">
      <c r="A33" s="10" t="s">
        <v>684</v>
      </c>
    </row>
    <row r="34" spans="1:1">
      <c r="A34" s="10" t="s">
        <v>685</v>
      </c>
    </row>
    <row r="35" spans="1:1">
      <c r="A35" s="10" t="s">
        <v>686</v>
      </c>
    </row>
    <row r="36" spans="1:1">
      <c r="A36" s="10" t="s">
        <v>687</v>
      </c>
    </row>
    <row r="37" spans="1:1">
      <c r="A37" s="10" t="s">
        <v>688</v>
      </c>
    </row>
    <row r="38" spans="1:1">
      <c r="A38" s="10" t="s">
        <v>689</v>
      </c>
    </row>
    <row r="39" spans="1:1">
      <c r="A39" s="10" t="s">
        <v>690</v>
      </c>
    </row>
    <row r="40" spans="1:1">
      <c r="A40" s="10" t="s">
        <v>691</v>
      </c>
    </row>
    <row r="41" spans="1:1">
      <c r="A41" s="10" t="s">
        <v>692</v>
      </c>
    </row>
    <row r="42" spans="1:1">
      <c r="A42" s="10" t="s">
        <v>659</v>
      </c>
    </row>
    <row r="43" spans="1:1">
      <c r="A43" s="10" t="s">
        <v>693</v>
      </c>
    </row>
    <row r="44" spans="1:1">
      <c r="A44" s="10" t="s">
        <v>694</v>
      </c>
    </row>
    <row r="45" spans="1:1">
      <c r="A45" s="10" t="s">
        <v>695</v>
      </c>
    </row>
    <row r="46" spans="1:1">
      <c r="A46" s="10" t="s">
        <v>696</v>
      </c>
    </row>
    <row r="47" spans="1:1">
      <c r="A47" s="10" t="s">
        <v>659</v>
      </c>
    </row>
    <row r="48" spans="1:1">
      <c r="A48" s="10" t="s">
        <v>697</v>
      </c>
    </row>
    <row r="49" spans="1:1">
      <c r="A49" s="10" t="s">
        <v>698</v>
      </c>
    </row>
    <row r="50" spans="1:1">
      <c r="A50" s="10" t="s">
        <v>699</v>
      </c>
    </row>
    <row r="51" spans="1:1">
      <c r="A51" s="10" t="s">
        <v>700</v>
      </c>
    </row>
    <row r="52" spans="1:1">
      <c r="A52" s="10" t="s">
        <v>659</v>
      </c>
    </row>
    <row r="53" spans="1:1">
      <c r="A53" s="10" t="s">
        <v>701</v>
      </c>
    </row>
    <row r="54" spans="1:1">
      <c r="A54" s="10" t="s">
        <v>702</v>
      </c>
    </row>
    <row r="55" spans="1:1">
      <c r="A55" s="10" t="s">
        <v>703</v>
      </c>
    </row>
    <row r="56" spans="1:1">
      <c r="A56" s="10" t="s">
        <v>704</v>
      </c>
    </row>
    <row r="57" spans="1:1">
      <c r="A57" s="10" t="s">
        <v>705</v>
      </c>
    </row>
    <row r="58" spans="1:1">
      <c r="A58" s="10" t="s">
        <v>706</v>
      </c>
    </row>
    <row r="59" spans="1:1">
      <c r="A59" s="10" t="s">
        <v>707</v>
      </c>
    </row>
    <row r="60" spans="1:1">
      <c r="A60" s="10" t="s">
        <v>708</v>
      </c>
    </row>
    <row r="61" spans="1:1">
      <c r="A61" s="10" t="s">
        <v>709</v>
      </c>
    </row>
    <row r="62" spans="1:1">
      <c r="A62" s="10" t="s">
        <v>710</v>
      </c>
    </row>
    <row r="63" spans="1:1">
      <c r="A63" s="10" t="s">
        <v>706</v>
      </c>
    </row>
    <row r="64" spans="1:1">
      <c r="A64" s="10" t="s">
        <v>711</v>
      </c>
    </row>
    <row r="65" spans="1:1">
      <c r="A65" s="10" t="s">
        <v>708</v>
      </c>
    </row>
    <row r="66" spans="1:1">
      <c r="A66" s="10" t="s">
        <v>677</v>
      </c>
    </row>
    <row r="67" spans="1:1">
      <c r="A67" s="10" t="s">
        <v>659</v>
      </c>
    </row>
    <row r="68" spans="1:1">
      <c r="A68" s="10" t="s">
        <v>712</v>
      </c>
    </row>
    <row r="69" spans="1:1">
      <c r="A69" s="10" t="s">
        <v>713</v>
      </c>
    </row>
    <row r="70" spans="1:1">
      <c r="A70" s="10" t="s">
        <v>714</v>
      </c>
    </row>
    <row r="71" spans="1:1">
      <c r="A71" s="10" t="s">
        <v>715</v>
      </c>
    </row>
    <row r="72" spans="1:1">
      <c r="A72" s="10" t="s">
        <v>716</v>
      </c>
    </row>
    <row r="73" spans="1:1">
      <c r="A73" s="10" t="s">
        <v>717</v>
      </c>
    </row>
    <row r="74" spans="1:1">
      <c r="A74" s="10" t="s">
        <v>677</v>
      </c>
    </row>
    <row r="75" spans="1:1">
      <c r="A75" s="10" t="s">
        <v>659</v>
      </c>
    </row>
    <row r="76" spans="1:1">
      <c r="A76" s="10" t="s">
        <v>718</v>
      </c>
    </row>
    <row r="77" spans="1:1">
      <c r="A77" s="10" t="s">
        <v>719</v>
      </c>
    </row>
    <row r="78" spans="1:1">
      <c r="A78" s="10" t="s">
        <v>720</v>
      </c>
    </row>
    <row r="79" spans="1:1">
      <c r="A79" s="10" t="s">
        <v>721</v>
      </c>
    </row>
    <row r="80" spans="1:1">
      <c r="A80" s="10" t="s">
        <v>722</v>
      </c>
    </row>
    <row r="81" spans="1:1">
      <c r="A81" s="10" t="s">
        <v>723</v>
      </c>
    </row>
    <row r="82" spans="1:1">
      <c r="A82" s="10" t="s">
        <v>724</v>
      </c>
    </row>
    <row r="83" spans="1:1">
      <c r="A83" s="10" t="s">
        <v>672</v>
      </c>
    </row>
    <row r="84" spans="1:1">
      <c r="A84" s="10" t="s">
        <v>725</v>
      </c>
    </row>
    <row r="85" spans="1:1">
      <c r="A85" s="10" t="s">
        <v>726</v>
      </c>
    </row>
    <row r="86" spans="1:1">
      <c r="A86" s="10" t="s">
        <v>672</v>
      </c>
    </row>
    <row r="87" spans="1:1">
      <c r="A87" s="10" t="s">
        <v>727</v>
      </c>
    </row>
    <row r="88" spans="1:1">
      <c r="A88" s="10" t="s">
        <v>677</v>
      </c>
    </row>
    <row r="89" spans="1:1">
      <c r="A89" s="10" t="s">
        <v>728</v>
      </c>
    </row>
    <row r="90" spans="1:1">
      <c r="A90" s="10" t="s">
        <v>729</v>
      </c>
    </row>
    <row r="91" spans="1:1">
      <c r="A91" s="10" t="s">
        <v>730</v>
      </c>
    </row>
    <row r="92" spans="1:1">
      <c r="A92" s="10" t="s">
        <v>731</v>
      </c>
    </row>
    <row r="93" spans="1:1">
      <c r="A93" s="10" t="s">
        <v>732</v>
      </c>
    </row>
    <row r="94" spans="1:1">
      <c r="A94" s="10" t="s">
        <v>733</v>
      </c>
    </row>
    <row r="95" spans="1:1">
      <c r="A95" s="10" t="s">
        <v>734</v>
      </c>
    </row>
    <row r="96" spans="1:1">
      <c r="A96" s="10" t="s">
        <v>735</v>
      </c>
    </row>
    <row r="97" spans="1:1">
      <c r="A97" s="10" t="s">
        <v>736</v>
      </c>
    </row>
    <row r="98" spans="1:1">
      <c r="A98" s="10" t="s">
        <v>709</v>
      </c>
    </row>
    <row r="99" spans="1:1">
      <c r="A99" s="10" t="s">
        <v>737</v>
      </c>
    </row>
    <row r="100" spans="1:1">
      <c r="A100" s="10" t="s">
        <v>738</v>
      </c>
    </row>
    <row r="101" spans="1:1">
      <c r="A101" s="10" t="s">
        <v>739</v>
      </c>
    </row>
    <row r="102" spans="1:1">
      <c r="A102" s="10" t="s">
        <v>740</v>
      </c>
    </row>
    <row r="103" spans="1:1">
      <c r="A103" s="10" t="s">
        <v>659</v>
      </c>
    </row>
    <row r="104" spans="1:1">
      <c r="A104" s="10" t="s">
        <v>741</v>
      </c>
    </row>
    <row r="105" spans="1:1">
      <c r="A105" s="10" t="s">
        <v>742</v>
      </c>
    </row>
    <row r="106" spans="1:1">
      <c r="A106" s="10" t="s">
        <v>743</v>
      </c>
    </row>
    <row r="107" spans="1:1">
      <c r="A107" s="10" t="s">
        <v>659</v>
      </c>
    </row>
    <row r="108" spans="1:1">
      <c r="A108" s="10" t="s">
        <v>744</v>
      </c>
    </row>
    <row r="109" spans="1:1">
      <c r="A109" s="10" t="s">
        <v>745</v>
      </c>
    </row>
    <row r="110" spans="1:1">
      <c r="A110" s="10" t="s">
        <v>746</v>
      </c>
    </row>
    <row r="111" spans="1:1">
      <c r="A111" s="10" t="s">
        <v>747</v>
      </c>
    </row>
    <row r="112" spans="1:1">
      <c r="A112" s="10" t="s">
        <v>748</v>
      </c>
    </row>
    <row r="113" spans="1:1">
      <c r="A113" s="10" t="s">
        <v>749</v>
      </c>
    </row>
    <row r="114" spans="1:1">
      <c r="A114" s="10" t="s">
        <v>750</v>
      </c>
    </row>
    <row r="115" spans="1:1">
      <c r="A115" s="10" t="s">
        <v>751</v>
      </c>
    </row>
    <row r="116" spans="1:1">
      <c r="A116" s="10" t="s">
        <v>752</v>
      </c>
    </row>
    <row r="117" spans="1:1">
      <c r="A117" s="10" t="s">
        <v>753</v>
      </c>
    </row>
    <row r="118" spans="1:1">
      <c r="A118" s="10" t="s">
        <v>754</v>
      </c>
    </row>
    <row r="119" spans="1:1">
      <c r="A119" s="10" t="s">
        <v>755</v>
      </c>
    </row>
    <row r="120" spans="1:1">
      <c r="A120" s="10" t="s">
        <v>756</v>
      </c>
    </row>
    <row r="121" spans="1:1">
      <c r="A121" s="10" t="s">
        <v>757</v>
      </c>
    </row>
    <row r="122" spans="1:1">
      <c r="A122" s="10" t="s">
        <v>758</v>
      </c>
    </row>
    <row r="123" spans="1:1">
      <c r="A123" s="10" t="s">
        <v>759</v>
      </c>
    </row>
    <row r="124" spans="1:1">
      <c r="A124" s="10" t="s">
        <v>760</v>
      </c>
    </row>
    <row r="125" spans="1:1">
      <c r="A125" s="10" t="s">
        <v>761</v>
      </c>
    </row>
    <row r="126" spans="1:1">
      <c r="A126" s="10" t="s">
        <v>762</v>
      </c>
    </row>
    <row r="127" spans="1:1">
      <c r="A127" s="10" t="s">
        <v>763</v>
      </c>
    </row>
    <row r="128" spans="1:1">
      <c r="A128" s="10" t="s">
        <v>758</v>
      </c>
    </row>
    <row r="129" spans="1:1">
      <c r="A129" s="10" t="s">
        <v>764</v>
      </c>
    </row>
    <row r="130" spans="1:1">
      <c r="A130" s="10" t="s">
        <v>765</v>
      </c>
    </row>
    <row r="131" spans="1:1">
      <c r="A131" s="10" t="s">
        <v>766</v>
      </c>
    </row>
    <row r="132" spans="1:1">
      <c r="A132" s="10" t="s">
        <v>767</v>
      </c>
    </row>
    <row r="133" spans="1:1">
      <c r="A133" s="10" t="s">
        <v>672</v>
      </c>
    </row>
    <row r="134" spans="1:1">
      <c r="A134" s="10" t="s">
        <v>768</v>
      </c>
    </row>
    <row r="135" spans="1:1">
      <c r="A135" s="10" t="s">
        <v>769</v>
      </c>
    </row>
    <row r="136" spans="1:1">
      <c r="A136" s="10" t="s">
        <v>677</v>
      </c>
    </row>
    <row r="137" spans="1:1">
      <c r="A137" s="10" t="s">
        <v>659</v>
      </c>
    </row>
    <row r="138" spans="1:1">
      <c r="A138" s="10" t="s">
        <v>770</v>
      </c>
    </row>
    <row r="139" spans="1:1">
      <c r="A139" s="10" t="s">
        <v>719</v>
      </c>
    </row>
    <row r="140" spans="1:1">
      <c r="A140" s="10" t="s">
        <v>771</v>
      </c>
    </row>
    <row r="141" spans="1:1">
      <c r="A141" s="10" t="s">
        <v>772</v>
      </c>
    </row>
    <row r="142" spans="1:1">
      <c r="A142" s="10" t="s">
        <v>709</v>
      </c>
    </row>
    <row r="143" spans="1:1">
      <c r="A143" s="10" t="s">
        <v>719</v>
      </c>
    </row>
    <row r="144" spans="1:1">
      <c r="A144" s="10" t="s">
        <v>773</v>
      </c>
    </row>
    <row r="145" spans="1:1">
      <c r="A145" s="10" t="s">
        <v>772</v>
      </c>
    </row>
    <row r="146" spans="1:1">
      <c r="A146" s="10" t="s">
        <v>709</v>
      </c>
    </row>
    <row r="147" spans="1:1">
      <c r="A147" s="10" t="s">
        <v>719</v>
      </c>
    </row>
    <row r="148" spans="1:1">
      <c r="A148" s="10" t="s">
        <v>774</v>
      </c>
    </row>
    <row r="149" spans="1:1">
      <c r="A149" s="10" t="s">
        <v>772</v>
      </c>
    </row>
    <row r="150" spans="1:1">
      <c r="A150" s="10" t="s">
        <v>709</v>
      </c>
    </row>
    <row r="151" spans="1:1">
      <c r="A151" s="10" t="s">
        <v>719</v>
      </c>
    </row>
    <row r="152" spans="1:1">
      <c r="A152" s="10" t="s">
        <v>775</v>
      </c>
    </row>
    <row r="153" spans="1:1">
      <c r="A153" s="10" t="s">
        <v>776</v>
      </c>
    </row>
    <row r="154" spans="1:1">
      <c r="A154" s="10" t="s">
        <v>709</v>
      </c>
    </row>
    <row r="155" spans="1:1">
      <c r="A155" s="10" t="s">
        <v>719</v>
      </c>
    </row>
    <row r="156" spans="1:1">
      <c r="A156" s="10" t="s">
        <v>777</v>
      </c>
    </row>
    <row r="157" spans="1:1">
      <c r="A157" s="10" t="s">
        <v>772</v>
      </c>
    </row>
    <row r="158" spans="1:1">
      <c r="A158" s="10" t="s">
        <v>709</v>
      </c>
    </row>
    <row r="159" spans="1:1">
      <c r="A159" s="10" t="s">
        <v>719</v>
      </c>
    </row>
    <row r="160" spans="1:1">
      <c r="A160" s="10" t="s">
        <v>778</v>
      </c>
    </row>
    <row r="161" spans="1:1">
      <c r="A161" s="10" t="s">
        <v>772</v>
      </c>
    </row>
    <row r="162" spans="1:1">
      <c r="A162" s="10" t="s">
        <v>709</v>
      </c>
    </row>
    <row r="163" spans="1:1">
      <c r="A163" s="10" t="s">
        <v>719</v>
      </c>
    </row>
    <row r="164" spans="1:1">
      <c r="A164" s="10" t="s">
        <v>779</v>
      </c>
    </row>
    <row r="165" spans="1:1">
      <c r="A165" s="10" t="s">
        <v>772</v>
      </c>
    </row>
    <row r="166" spans="1:1">
      <c r="A166" s="10" t="s">
        <v>709</v>
      </c>
    </row>
    <row r="167" spans="1:1">
      <c r="A167" s="10" t="s">
        <v>719</v>
      </c>
    </row>
    <row r="168" spans="1:1">
      <c r="A168" s="10" t="s">
        <v>780</v>
      </c>
    </row>
    <row r="169" spans="1:1">
      <c r="A169" s="10" t="s">
        <v>776</v>
      </c>
    </row>
    <row r="170" spans="1:1">
      <c r="A170" s="10" t="s">
        <v>709</v>
      </c>
    </row>
    <row r="171" spans="1:1">
      <c r="A171" s="10" t="s">
        <v>719</v>
      </c>
    </row>
    <row r="172" spans="1:1">
      <c r="A172" s="10" t="s">
        <v>781</v>
      </c>
    </row>
    <row r="173" spans="1:1">
      <c r="A173" s="10" t="s">
        <v>772</v>
      </c>
    </row>
    <row r="174" spans="1:1">
      <c r="A174" s="10" t="s">
        <v>709</v>
      </c>
    </row>
    <row r="175" spans="1:1">
      <c r="A175" s="10" t="s">
        <v>719</v>
      </c>
    </row>
    <row r="176" spans="1:1">
      <c r="A176" s="10" t="s">
        <v>782</v>
      </c>
    </row>
    <row r="177" spans="1:1">
      <c r="A177" s="10" t="s">
        <v>783</v>
      </c>
    </row>
    <row r="178" spans="1:1">
      <c r="A178" s="10" t="s">
        <v>784</v>
      </c>
    </row>
    <row r="179" spans="1:1">
      <c r="A179" s="10" t="s">
        <v>785</v>
      </c>
    </row>
    <row r="180" spans="1:1">
      <c r="A180" s="10" t="s">
        <v>676</v>
      </c>
    </row>
    <row r="181" spans="1:1">
      <c r="A181" s="10" t="s">
        <v>709</v>
      </c>
    </row>
    <row r="182" spans="1:1">
      <c r="A182" s="10" t="s">
        <v>719</v>
      </c>
    </row>
    <row r="183" spans="1:1">
      <c r="A183" s="10" t="s">
        <v>786</v>
      </c>
    </row>
    <row r="184" spans="1:1">
      <c r="A184" s="10" t="s">
        <v>776</v>
      </c>
    </row>
    <row r="185" spans="1:1">
      <c r="A185" s="10" t="s">
        <v>677</v>
      </c>
    </row>
    <row r="186" spans="1:1">
      <c r="A186" s="10" t="s">
        <v>728</v>
      </c>
    </row>
    <row r="187" spans="1:1">
      <c r="A187" s="10" t="s">
        <v>787</v>
      </c>
    </row>
    <row r="188" spans="1:1">
      <c r="A188" s="10" t="s">
        <v>788</v>
      </c>
    </row>
    <row r="189" spans="1:1">
      <c r="A189" s="10" t="s">
        <v>789</v>
      </c>
    </row>
    <row r="190" spans="1:1">
      <c r="A190" s="10" t="s">
        <v>790</v>
      </c>
    </row>
    <row r="191" spans="1:1">
      <c r="A191" s="10" t="s">
        <v>791</v>
      </c>
    </row>
    <row r="192" spans="1:1">
      <c r="A192" s="10" t="s">
        <v>792</v>
      </c>
    </row>
    <row r="193" spans="1:1">
      <c r="A193" s="10" t="s">
        <v>793</v>
      </c>
    </row>
    <row r="194" spans="1:1">
      <c r="A194" s="10" t="s">
        <v>794</v>
      </c>
    </row>
    <row r="195" spans="1:1">
      <c r="A195" s="10" t="s">
        <v>709</v>
      </c>
    </row>
    <row r="196" spans="1:1">
      <c r="A196" s="10" t="s">
        <v>795</v>
      </c>
    </row>
    <row r="197" spans="1:1">
      <c r="A197" s="10" t="s">
        <v>796</v>
      </c>
    </row>
    <row r="198" spans="1:1">
      <c r="A198" s="10" t="s">
        <v>797</v>
      </c>
    </row>
    <row r="199" spans="1:1">
      <c r="A199" s="10" t="s">
        <v>798</v>
      </c>
    </row>
    <row r="200" spans="1:1">
      <c r="A200" s="10" t="s">
        <v>799</v>
      </c>
    </row>
    <row r="201" spans="1:1">
      <c r="A201" s="10" t="s">
        <v>800</v>
      </c>
    </row>
    <row r="202" spans="1:1">
      <c r="A202" s="10" t="s">
        <v>667</v>
      </c>
    </row>
    <row r="203" spans="1:1">
      <c r="A203" s="10" t="s">
        <v>668</v>
      </c>
    </row>
    <row r="204" spans="1:1">
      <c r="A204" s="10" t="s">
        <v>669</v>
      </c>
    </row>
    <row r="205" spans="1:1">
      <c r="A205" s="10" t="s">
        <v>801</v>
      </c>
    </row>
    <row r="206" spans="1:1">
      <c r="A206" s="10" t="s">
        <v>802</v>
      </c>
    </row>
    <row r="207" spans="1:1">
      <c r="A207" s="10" t="s">
        <v>803</v>
      </c>
    </row>
    <row r="208" spans="1:1">
      <c r="A208" s="10" t="s">
        <v>804</v>
      </c>
    </row>
    <row r="209" spans="1:1">
      <c r="A209" s="10" t="s">
        <v>805</v>
      </c>
    </row>
    <row r="210" spans="1:1">
      <c r="A210" s="10" t="s">
        <v>671</v>
      </c>
    </row>
    <row r="211" spans="1:1">
      <c r="A211" s="10" t="s">
        <v>676</v>
      </c>
    </row>
    <row r="212" spans="1:1">
      <c r="A212" s="10" t="s">
        <v>692</v>
      </c>
    </row>
    <row r="213" spans="1:1">
      <c r="A213" s="10" t="s">
        <v>806</v>
      </c>
    </row>
    <row r="214" spans="1:1">
      <c r="A214" s="10" t="s">
        <v>807</v>
      </c>
    </row>
  </sheetData>
  <autoFilter ref="A1:A2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Summary</vt:lpstr>
      <vt:lpstr>Needs Explanation</vt:lpstr>
      <vt:lpstr>Commentary</vt:lpstr>
      <vt:lpstr>Drill-down</vt:lpstr>
      <vt:lpstr>Data checks</vt:lpstr>
      <vt:lpstr>Data</vt:lpstr>
      <vt:lpstr>Settings</vt:lpstr>
      <vt:lpstr>Variance - By country</vt:lpstr>
      <vt:lpstr>Movement detail</vt:lpstr>
      <vt:lpstr>Source lines</vt:lpstr>
      <vt:lpstr>Classifications</vt:lpstr>
      <vt:lpstr>Unmatched lookups</vt:lpstr>
      <vt:lpstr>Data controls</vt:lpstr>
      <vt:lpstr>Setup changes</vt:lpstr>
      <vt:lpstr>Explanation log</vt:lpstr>
      <vt:lpstr>Run audit</vt:lpstr>
      <vt:lpstr>AI assistant log</vt:lpstr>
      <vt:lpstr>FluxSpec</vt:lpstr>
      <vt:lpstr>BaseMonths</vt:lpstr>
      <vt:lpstr>BaseVersion</vt:lpstr>
      <vt:lpstr>CurrentMonths</vt:lpstr>
      <vt:lpstr>CurrentVersion</vt:lpstr>
      <vt:lpstr>Commentary!Print_Titles</vt:lpstr>
      <vt:lpstr>'Drill-down'!Print_Titles</vt:lpstr>
      <vt:lpstr>'Needs Explanation'!Print_Titles</vt:lpstr>
      <vt:lpstr>Threshold</vt:lpstr>
      <vt:lpstr>TotalBase</vt:lpstr>
      <vt:lpstr>TotalCurrent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2026-10-28T14:23:42Z</dcterms:created>
  <dcterms:modified xsi:type="dcterms:W3CDTF">2026-10-28T14:23:42Z</dcterms:modified>
</cp:coreProperties>
</file>