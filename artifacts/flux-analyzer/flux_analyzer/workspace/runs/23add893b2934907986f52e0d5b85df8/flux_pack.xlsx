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- By country" sheetId="8" r:id="rId8"/>
    <sheet name="Movement detail" sheetId="9" r:id="rId9"/>
    <sheet name="Source lines" sheetId="10" r:id="rId10"/>
    <sheet name="Classifications" sheetId="11" r:id="rId11"/>
    <sheet name="Unmatched lookups" sheetId="12" r:id="rId12"/>
    <sheet name="Data controls" sheetId="13" r:id="rId13"/>
    <sheet name="Setup changes" sheetId="14" r:id="rId14"/>
    <sheet name="Explanation log" sheetId="15" r:id="rId15"/>
    <sheet name="Run audit" sheetId="16" r:id="rId16"/>
    <sheet name="AI assistant log" sheetId="17" r:id="rId17"/>
    <sheet name="FluxSpec" sheetId="18" r:id="rId18"/>
  </sheets>
  <definedNames>
    <definedName name="_xlnm._FilterDatabase" localSheetId="16" hidden="1">'AI assistant log'!$A$1:$C$10</definedName>
    <definedName name="_xlnm._FilterDatabase" localSheetId="2" hidden="1">Commentary!$A$1:$M$5</definedName>
    <definedName name="_xlnm._FilterDatabase" localSheetId="12" hidden="1">'Data controls'!$A$1:$D$12</definedName>
    <definedName name="_xlnm._FilterDatabase" localSheetId="5" hidden="1">Data!$A$1:$C$31</definedName>
    <definedName name="_xlnm._FilterDatabase" localSheetId="3" hidden="1">'Drill-down'!$A$1:$G$6</definedName>
    <definedName name="_xlnm._FilterDatabase" localSheetId="17" hidden="1">FluxSpec!$A$1:$A$224</definedName>
    <definedName name="_xlnm._FilterDatabase" localSheetId="8" hidden="1">'Movement detail'!$A$1:$K$5</definedName>
    <definedName name="_xlnm._FilterDatabase" localSheetId="15" hidden="1">'Run audit'!$A$1:$B$8</definedName>
    <definedName name="_xlnm._FilterDatabase" localSheetId="13" hidden="1">'Setup changes'!$A$1:$G$18</definedName>
    <definedName name="_xlnm._FilterDatabase" localSheetId="9" hidden="1">'Source lines'!$A$1:$G$8</definedName>
    <definedName name="_xlnm._FilterDatabase" localSheetId="7" hidden="1">'Variance - By country'!$A$1:$E$6</definedName>
    <definedName name="BaseMonths">Settings!$B$7:$B$9</definedName>
    <definedName name="BaseVersion">Settings!$B$13</definedName>
    <definedName name="CurrentMonths">Settings!$B$10:$B$12</definedName>
    <definedName name="CurrentVersion">Settings!$B$14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Settings!$B$15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<sst xmlns="http://schemas.openxmlformats.org/spreadsheetml/2006/main" count="787" uniqueCount="419">
  <si>
    <t>Report settings</t>
  </si>
  <si>
    <t>Report</t>
  </si>
  <si>
    <t>Untitled analysis</t>
  </si>
  <si>
    <t>Run ID</t>
  </si>
  <si>
    <t>23add893b2934907986f52e0d5b85df8</t>
  </si>
  <si>
    <t>Created (UTC)</t>
  </si>
  <si>
    <t>Comparison</t>
  </si>
  <si>
    <t>quarter_vs_quarter</t>
  </si>
  <si>
    <t>Base months</t>
  </si>
  <si>
    <t>2026-01</t>
  </si>
  <si>
    <t>2026-02</t>
  </si>
  <si>
    <t>2026-03</t>
  </si>
  <si>
    <t>Current months</t>
  </si>
  <si>
    <t>2026-04</t>
  </si>
  <si>
    <t>2026-05</t>
  </si>
  <si>
    <t>2026-06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</si>
  <si>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</si>
  <si>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</si>
  <si>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</si>
  <si>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</si>
  <si>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</si>
  <si>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</si>
  <si>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</si>
  <si>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</si>
  <si>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</si>
  <si>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</si>
  <si>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</si>
  <si>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</si>
  <si>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</si>
  <si>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</si>
  <si>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dee57d288ab01299b16e1d959afa993420d8c9d060d8e9b804e08cafc2ba6c9e</t>
  </si>
  <si>
    <t>Change Threshold to see which movements cross it. The list of movements was chosen when the report ran; run the report again to change months, versions or the list.</t>
  </si>
  <si>
    <t>Country</t>
  </si>
  <si>
    <t>Month</t>
  </si>
  <si>
    <t>Amount</t>
  </si>
  <si>
    <t>France</t>
  </si>
  <si>
    <t>Germany</t>
  </si>
  <si>
    <t>Netherlands</t>
  </si>
  <si>
    <t>Spain</t>
  </si>
  <si>
    <t>United Kingdom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</si>
  <si>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</si>
  <si>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</si>
  <si>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</si>
  <si>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</si>
  <si>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</si>
  <si>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</si>
  <si>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</si>
  <si>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</si>
  <si>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</si>
  <si>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</si>
  <si>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</si>
  <si>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</si>
  <si>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Explained by AI — please review</t>
  </si>
  <si>
    <t>+$1.0M — United Kingdom. Descriptions include Data centre cooling maintenance / Operational.</t>
  </si>
  <si>
    <t>AI</t>
  </si>
  <si>
    <t/>
  </si>
  <si>
    <t>Data centre cooling maintenance / Operational (+$1.0M)</t>
  </si>
  <si>
    <t>+$0.9M — Germany. Descriptions include Emergency generator servicing / Operational.</t>
  </si>
  <si>
    <t>Emergency generator servicing / Operational (+$0.9M)</t>
  </si>
  <si>
    <t>-$0.6M — Netherlands. Descriptions include Preventive maintenance contract / Operational.</t>
  </si>
  <si>
    <t>Preventive maintenance contract / Operational (-$0.6M); Cooling accrual — synthetic golden rule example / Accrual - Reversal (-$34.07); Cooling accrual — synthetic golden rule example / Accrual - Current (-$30.48)</t>
  </si>
  <si>
    <t>Grouped</t>
  </si>
  <si>
    <t>Below threshold</t>
  </si>
  <si>
    <t>+$0.2M — Other items. Remaining movements below the materiality threshold, grouped by the engine.</t>
  </si>
  <si>
    <t>Fire safety maintenance / Operational (+$0.2M); Electrical inspection / Operational (+$0.1M)</t>
  </si>
  <si>
    <t>Apr 2026 to Jun 2026 compared with Jan 2026 to Mar 2026 · Prepared 29 Oct 2026 09:23 UTC</t>
  </si>
  <si>
    <t>Base total</t>
  </si>
  <si>
    <t>Current total</t>
  </si>
  <si>
    <t>Movement %</t>
  </si>
  <si>
    <t>Explanation status</t>
  </si>
  <si>
    <t>Needs explanation</t>
  </si>
  <si>
    <t>Confirmed</t>
  </si>
  <si>
    <t>3 movements still need a person to write or check the explanation — open Needs Explanation</t>
  </si>
  <si>
    <t>Headline</t>
  </si>
  <si>
    <t>Variance commentary by country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</si>
  <si>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</si>
  <si>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</si>
  <si>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</si>
  <si>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</si>
  <si>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</si>
  <si>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</si>
  <si>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</si>
  <si>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</si>
  <si>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</si>
  <si>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</si>
  <si>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</si>
  <si>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</si>
  <si>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</si>
  <si>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</si>
  <si>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</si>
  <si>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</si>
  <si>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</si>
  <si>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</si>
  <si>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</si>
  <si>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- By country</t>
  </si>
  <si>
    <t>Every line of the 'By country'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</si>
  <si>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</si>
  <si>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</si>
  <si>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</si>
  <si>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</si>
  <si>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</si>
  <si>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</si>
  <si>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</si>
  <si>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</si>
  <si>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</si>
  <si>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</si>
  <si>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</si>
  <si>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</si>
  <si>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</si>
  <si>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</si>
  <si>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</si>
  <si>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</si>
  <si>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</si>
  <si>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</si>
  <si>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</si>
  <si>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</si>
  <si>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</si>
  <si>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</si>
  <si>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</si>
  <si>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</si>
  <si>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</si>
  <si>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</si>
  <si>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</si>
  <si>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</si>
  <si>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</si>
  <si>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Check the AI draft against the evidence, then confirm or edit it.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</si>
  <si>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</si>
  <si>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</si>
  <si>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</si>
  <si>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</si>
  <si>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</si>
  <si>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</si>
  <si>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</si>
  <si>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</si>
  <si>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</si>
  <si>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</si>
  <si>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</si>
  <si>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</si>
  <si>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</si>
  <si>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</si>
  <si>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</si>
  <si>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</si>
  <si>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</si>
  <si>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Dimension membership is consistent.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</si>
  <si>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</si>
  <si>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</si>
  <si>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</si>
  <si>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</si>
  <si>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</si>
  <si>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</si>
  <si>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</si>
  <si>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</si>
  <si>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</si>
  <si>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</si>
  <si>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</si>
  <si>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</si>
  <si>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</si>
  <si>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</si>
  <si>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</si>
  <si>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</si>
  <si>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</si>
  <si>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</si>
  <si>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</si>
  <si>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</si>
  <si>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</si>
  <si>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</si>
  <si>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</si>
  <si>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</si>
  <si>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</si>
  <si>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</si>
  <si>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driver:others</t>
  </si>
  <si>
    <t>others</t>
  </si>
  <si>
    <t>Description</t>
  </si>
  <si>
    <t>Data centre cooling maintenance / Operational</t>
  </si>
  <si>
    <t>Emergency generator servicing / Operational</t>
  </si>
  <si>
    <t>Preventive maintenance contract / Operational</t>
  </si>
  <si>
    <t>Cooling accrual — synthetic golden rule example / Accrual - Reversal</t>
  </si>
  <si>
    <t>Cooling accrual — synthetic golden rule example / Accrual - Current</t>
  </si>
  <si>
    <t>Fire safety maintenance / Operational</t>
  </si>
  <si>
    <t>Electrical inspection / Operational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</si>
  <si>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</si>
  <si>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</si>
  <si>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</si>
  <si>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</si>
  <si>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</si>
  <si>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17, "current": 17}}</t>
  </si>
  <si>
    <t>{"periods": []}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</si>
  <si>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</si>
  <si>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</si>
  <si>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</si>
  <si>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</si>
  <si>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</si>
  <si>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</si>
  <si>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</si>
  <si>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</si>
  <si>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</si>
  <si>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</si>
  <si>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</si>
  <si>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</si>
  <si>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</si>
  <si>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{"open_po": {"files": [{"file": "Sample_Open_PO.xlsx", "sheet": "Open PO Report ", "header_row": 1, "start_col": "A", "end_col": null}]}}</t>
  </si>
  <si>
    <t>/sources/primary</t>
  </si>
  <si>
    <t>{"files": [{"file": "Sample_GL_2026.csv", "sheet": "(csv)", "header_row": 1, "start_col": "A", "end_col": null}], "union": {"mode": "stack", "tag_column": null}}</t>
  </si>
  <si>
    <t>agent</t>
  </si>
  <si>
    <t>Set up comparison of Q2 2026 against Q1 2026 grouped by Country. Please select the Amount column to proceed.</t>
  </si>
  <si>
    <t>/comparison/base/months</t>
  </si>
  <si>
    <t>replace</t>
  </si>
  <si>
    <t>[]</t>
  </si>
  <si>
    <t>["2026-01", "2026-02", "2026-03"]</t>
  </si>
  <si>
    <t>/comparison/current/months</t>
  </si>
  <si>
    <t>["2026-04", "2026-05", "2026-06"]</t>
  </si>
  <si>
    <t>/comparison/type</t>
  </si>
  <si>
    <t>QoQ</t>
  </si>
  <si>
    <t>/drivers/view</t>
  </si>
  <si>
    <t>By country</t>
  </si>
  <si>
    <t>/roles/dimensions</t>
  </si>
  <si>
    <t>["Country"]</t>
  </si>
  <si>
    <t>/roles/period</t>
  </si>
  <si>
    <t>Period_Name</t>
  </si>
  <si>
    <t>/views</t>
  </si>
  <si>
    <t>[{"name": "By country", "keys": ["Country"], "measures": ["amount"], "compare": true}]</t>
  </si>
  <si>
    <t>We identified Period_Name as the Month column and proposed Functional_Net as the Amount column, Country and Region as Group by columns, and FAH_Line_Description for movement descriptions. Please confirm which amount column you would like to use.</t>
  </si>
  <si>
    <t>/roles/credit</t>
  </si>
  <si>
    <t>Accounted_Cr</t>
  </si>
  <si>
    <t>/roles/debit</t>
  </si>
  <si>
    <t>Accounted_Dr</t>
  </si>
  <si>
    <t>["Country", "Region", "Account"]</t>
  </si>
  <si>
    <t>/roles/driver_text</t>
  </si>
  <si>
    <t>["FAH_Line_Description", "FAH_Event_Type"]</t>
  </si>
  <si>
    <t>/roles/keys</t>
  </si>
  <si>
    <t>["Po_Number"]</t>
  </si>
  <si>
    <t>/roles/value</t>
  </si>
  <si>
    <t>Functional_Net</t>
  </si>
  <si>
    <t>Set up the amount measure using Functional_Net, grouped by Country, explaining movements above $300,000 for up to fifteen items.</t>
  </si>
  <si>
    <t>/drivers/measure</t>
  </si>
  <si>
    <t>amount</t>
  </si>
  <si>
    <t>/measures/amount</t>
  </si>
  <si>
    <t>{"agg": "sum", "col": "Functional_Net"}</t>
  </si>
  <si>
    <t>No explanations have been saved or confirmed yet.</t>
  </si>
  <si>
    <t>Item</t>
  </si>
  <si>
    <t>Value</t>
  </si>
  <si>
    <t>2026-10-29T09:23:23.418345+00:00</t>
  </si>
  <si>
    <t>Engine version</t>
  </si>
  <si>
    <t>2.0</t>
  </si>
  <si>
    <t>Preset</t>
  </si>
  <si>
    <t>generic_flux v1.0.0</t>
  </si>
  <si>
    <t>Input file (primary)</t>
  </si>
  <si>
    <t>Sample_GL_2026.csv — SHA-256 0136e4a15d177b4fc05eae2908fe6afed79ef71a1ee4028333e677ccf807b1bd</t>
  </si>
  <si>
    <t>Input file (lookup)</t>
  </si>
  <si>
    <t>Sample_Open_PO.xlsx — SHA-256 546b8d66f1027955ee8b8038883a511aa4956b72470bc8e599b840fa49686e5f</t>
  </si>
  <si>
    <t>Entry</t>
  </si>
  <si>
    <t>Part</t>
  </si>
  <si>
    <t>Log entry (JSON)</t>
  </si>
  <si>
    <t>{"timestamp": "2026-10-29T09:21:43.469517+00:00", "response": {"contract_version": "journey-1", "request_id": "4c39fbef-18f1-4471-a487-834a3325b6b2", "step": "plan_from_description", "status": "needs_input", "proposal": {"patch": [{"op": "replace", "path": "/comparison", "value": {"type": "quarter_vs_quarter", "base": {"months": ["2026-01", "2026-02", "2026-03"]}, "current": {"months": ["2026-04", "2026-05", "2026-06"]}}}, {"op": "replace", "path": "/roles/dimensions", "value": ["Country"]}, {"op": "replace", "path": "/roles/period", "value": "Period_Name"}, {"op": "replace", "path": "/views", "value": [{"name": "By country", "keys": ["Country"], "measures": ["amount"], "compare": true}]}, {"op": "replace", "path": "/drivers", "value": {"view": "By country", "materiality": {"mode": "abs", "abs": 300000}, "top_n": 15, "others_label": "Other items"}}], "step_states": [{"step": "data", "status": "needs_input", "summary": "Choose the Amount column.", "reason": "Functional_Net and Accounted_Dr are both available numeric columns.", "question_ids": ["amount_column"]}, {"step": "compare", "status": "confident", "summary": "Compare Q2 2026 (Apr–Jun) with Q1 2026 (Jan–Mar).", "reason": "The available months cover Q1 and Q2 2026.", "question_ids": []}, {"step": "include", "status": "confident", "summary": "Include all main data.", "reason": "No specific filters were requested.", "question_ids": []}, {"step": "group", "status": "confident", "summary": "Group by Country.", "reason": "You requested grouping by country.", "question_ids": []}, {"step": "important", "status": "confident", "summary": "Explain movements above 300,000.", "reason": "Preserved default threshold and top 15 movements.", "question_ids": []}, {"step": "explain", "status": "confident", "summary": "Use standard controller commentary.", "reason": "Preserved default commentary settings.", "question_ids": []}]}, "confidence": "medium", "rationale": "Configured quarter-on-quarter comparison for Q2 2026 versus Q1 2026 grouped by Country and updated driver settings to reference the new view. Confirmation is needed for the Amount column.", "questions": [{"id": "amount_column", "text": "Which column should be used as the Amount column?", "options": ["Use Functional_Net as the Amount column.", "Use Accounted_Dr as the Amount column."]}], "warnings": [], "summary": "Set up comparison of Q2 2026 against Q1 2026 grouped by Country. Please select the Amount column to proceed.", "changes": [{"setting": "/comparison/base/months", "from": "", "to": "2026-01, 2026-02, 2026-03", "reason": "Set up comparison of Q2 2026 against Q1 2026 grouped by Country. Please select the Amount column to proceed."}, {"setting": "/comparison/current/months", "from": "", "to": "2026-04, 2026-05, 2026-06", "reason": "Set up comparison of Q2 2026 against Q1 2026 grouped by Country. Please select the Amount column to proceed."}, {"setting": "/comparison/type", "from": "QoQ", "to": "quarter_vs_quarter", "reason": "Set up comparison of Q2 2026 against Q1 2026 grouped by Country. Please select the Amount column to proceed."}, {"setting": "/drivers/view", "from": "not set", "to": "By country", "reason": "Set up comparison of Q2 2026 against Q1 2026 grouped by Country. Please select the Amount column to proceed."}, {"setting": "/roles/dimensions", "from": "", "to": "Country", "reason": "Set up comparison of Q2 2026 against Q1 2026 grouped by Country. Please select the Amount column to proceed."}, {"setting": "/roles/period", "from": "not set", "to": "Period_Name", "reason": "Set up comparison of Q2 2026 against Q1 2026 grouped by Country. Please select the Amount column to proceed."}, {"setting": "/views", "from": "", "to": "name: By country; keys: Country; measures: amount; compare: True", "reason": "Set up comparison of Q2 2026 against Q1 2026 grouped by Country. Please select the Amount column to proceed."}], "applied": true, "patch": [{"op": "replace", "path": "/comparison/base/months", "value": ["2026-01", "2026-02", "2026-03"]}, {"op": "replace", "path": "/comparison/current/months", "value": ["2026-04", "2026-05", "2026-06"]}, {"op": "replace", "path": "/comparison/type", "value": "quarter_vs_quarter"}, {"op": "add", "path": "/drivers/view", "value": "By country"}, {"op": "replace", "path": "/roles/dimensions", "value": ["Country"]}, {"op": "replace", "path": "/roles/period", "value": "Period_Name"}, {"op": "replace", "path": "/views", "value": [{"name": "By country", "keys": ["Country"], "measures": ["amount"], "compare": true}]}]}}</t>
  </si>
  <si>
    <t>{"timestamp": "2026-10-29T09:21:58.325603+00:00", "response": {"contract_version": "journey-1", "request_id": "deeea1a0-83b6-4712-a468-7161413682d5", "step": "map_columns", "status": "needs_input", "proposal": {"roles": {"value": "Functional_Net", "period": "Period_Name", "scenario": null, "debit": "Accounted_Dr", "credit": "Accounted_Cr", "keys": ["Po_Number"], "dimensions": ["Country", "Region", "Account"], "driver_text": ["FAH_Line_Description", "FAH_Event_Type"]}, "unmapped": []}, "confidence": "medium", "rationale": "Multiple numeric fields are present in the dataset (Functional_Net, Accounted_Dr, and Accounted_Cr). We propose Functional_Net as the primary Amount column, with Accounted_Dr and Accounted_Cr available as debit and credit, but user confirmation is required.", "questions": [{"id": "select_amount_column", "text": "Which column should be used as the primary Amount column?", "options": ["Use Functional_Net as the Amount column.", "Use Accounted_Dr and Accounted_Cr as separate debit and credit columns."]}], "warnings": [], "summary": "We identified Period_Name as the Month column and proposed Functional_Net as the Amount column, Country and Region as Group by columns, and FAH_Line_Description for movement descriptions. Please confirm which amount column you would like to use.", "changes": [{"setting": "/roles/credit", "from": "not set", "to": "Accounted_Cr", "reason": "We identified Period_Name as the Month column and proposed Functional_Net as the Amount column, Country and Region as Group by columns, and FAH_Line_Description for movement descriptions. Please confirm which amount column you would like to use."}, {"setting": "/roles/debit", "from": "not set", "to": "Accounted_Dr", "reason": "We identified Period_Name as the Month column and proposed Functional_Net as the Amount column, Country and Region as Group by columns, and FAH_Line_Description for movement descriptions. Please confirm which amount column you would like to use."}, {"setting": "/roles/dimensions", "from": "Country", "to": "Country, Region, Account", "reason": "We identified Period_Name as the Month column and proposed Functional_Net as the Amount column, Country and Region as Group by columns, and FAH_Line_Description for movement descriptions. Please confirm which amount column you would like to use."}, {"setting": "/roles/driver_text", "from": "", "to": "FAH_Line_Description, FAH_Event_Type", "reason": "We identified Period_Name as the Month column and proposed Functional_Net as the Amount column, Country and Region as Group by columns, and FAH_Line_Description for movement descriptions. Please confirm which amount column you would like to use."}, {"setting": "/roles/keys", "from": "", "to": "Po_Number", "reason": "We identified Period_Name as the Month column and proposed Functional_Net as the Amount column, Country and Region as Group by columns, and FAH_Line_Description for movement descriptions. Please confirm which amount column you would like to use."}, {"setting": "/roles/value", "from": "not set", "to": "Functional_Net", "reason": "We identified Period_Name as the Month column and proposed Functional_Net as the Amount column, Country and Region as Group by columns, and FAH_Line_Description for movement descriptions. Please confirm which amount column you would like to use."}], "applied": true, "patch": [{"op": "replace", "path": "/roles/credit", "value": "Accounted_Cr"}, {"op": "replace", "path": "/roles/debit", "value": "Accounted_Dr"}, {"op": "replace", "path": "/roles/dimensions", "value": ["Country", "Region", "Account"]}, {"op": "replace", "path": "/roles/driver_text", "value": ["FAH_Line_Description", "FAH_Event_Type"]}, {"op": "replace", "path": "/roles/keys", "value": ["Po_Number"]}, {"op": "replace", "path": "/roles/value", "value": "Functional_Net"}]}}</t>
  </si>
  <si>
    <t>{"timestamp": "2026-10-29T09:23:04.490286+00:00", "response": {"contract_version": "journey-1", "request_id": "163fece1-9871-4741-805d-e51668fc8477", "step": "define_rules", "status": "ok", "proposal": {"measures": {"amount": {"agg": "sum", "col": "Functional_Net"}}, "views": [{"name": "By country", "keys": ["Country"], "measures": ["amount"], "compare": true}], "sections": null, "decompose": null, "flags": [], "gates": [], "drivers": {"view": "By country", "measure": "amount", "materiality": {"mode": "abs", "abs": 300000}, "top_n": 15, "others_label": "Other items"}, "drill": {"top_n": 5}, "commentary": {"units": "M", "decimals": 1, "verify_tag": "[TO VERIFY]", "sign_style": "plus_minus", "currency_symbol": "$", "forbidden_terms": [], "max_line_words": 35}, "controls": [{"id": "required_columns", "severity": "stop"}, {"id": "periods_present", "severity": "stop"}, {"id": "no_duplicate_periods_across_files", "severity": "stop"}, {"id": "new_or_removed_members", "severity": "warn"}, {"id": "drivers_reconcile", "severity": "stop"}, {"id": "flags_sum_to_rows", "severity": "stop"}, {"id": "sections_reconcile", "severity": "stop"}, {"id": "join_unmatched_keys", "severity": "warn"}, {"id": "join_fanout", "severity": "stop"}, {"id": "classification_coverage", "severity": "warn", "params": {"minimum_percentage": 95}}, {"id": "partial_period_used", "severity": "warn"}], "value_rules": {"source": "column", "null_as_zero": true, "flip_sign_when": []}, "joins": [], "classification": null}, "confidence": "high", "rationale": "Defined the primary additive sum measure using Functional_Net to support movement reconciliation in the By country view, while preserving all existing drivers, settings, and mandatory controls.", "questions": [], "warnings": [], "summary": "Set up the amount measure using Functional_Net, grouped by Country, explaining movements above $300,000 for up to fifteen items.", "changes": [{"setting": "/drivers/measure", "from": "not set", "to": "amount", "reason": "Set up the amount measure using Functional_Net, grouped by Country, explaining movements above $300,000 for up to fifteen items."}, {"setting": "/measures/amount", "from": "not set", "to": "agg: sum; col: Functional_Net", "reason": "Set up the amount measure using Functional_Net, grouped by Country, explaining movements above $300,000 for up to fifteen items."}], "applied": true, "patch": [{"op": "add", "path": "/drivers/measure", "value": "amount"}, {"op": "add", "path": "/measures/amount", "value": {"agg": "sum", "col": "Functional_Net"}}]}}</t>
  </si>
  <si>
    <t>{"transport_attempt": {"request_id": "4c39fbef-18f1-4471-a487-834a3325b6b2", "step": "plan_from_description", "envelope_size": 12546, "duration": 13.505, "status": "repair", "response": "{\n  \"contract_version\": \"journey-1\",\n  \"request_id\": \"4c39fbef-18f1-4471-a487-834a3325b6b2\",\n  \"step\": \"plan_from_description\",\n  \"status\": \"needs_input\",\n  \"proposal\": {\n    \"patch\": [\n      {\n        \"op\": \"replace\",\n        \"path\": \"/comparison\",\n        \"value\": {\n          \"type\": \"quarter_vs_quarter\",\n          \"base\": {\n            \"months\": [\n              \"2026-01\",\n              \"2026-02\",\n              \"2026-03\"\n            ]\n          },\n          \"current\": {\n            \"months\": [\n              \"2026-04\",\n              \"2026-05\",\n              \"2026-06\"\n            ]\n          }\n        }\n      },\n      {\n        \"op\": \"replace\",\n        \"path\": \"/roles/dimensions\",\n        \"value\": [\n          \"Country\"\n        ]\n      },\n      {\n        \"op\": \"replace\",\n        \"path\": \"/roles/period\",\n        \"value\": \"Period_Name\"\n      },\n      {\n        \"op\": \"replace\",\n        \"path\": \"/views\",\n        \"value\": [\n          {\n            \"name\": \"By country\",\n            \"keys\": [\n              \"Country\"\n            ],\n            \"measures\": [\n              \"amount\"\n            ],\n            \"compare\": true\n          }\n        ]\n      },\n      {\n        \"op\": \"replace\",\n        \"path\": \"/drivers/view\",\n        \"value\": \"By country\"\n      }\n    ],\n    \"step_states\": [\n      {\n        \"step\": \"data\",\n        \"status\": \"needs_input\",\n        \"summary\": \"Choose the Amount column.\",\n        \"reason\": \"Functional_Net and Accounted_Dr are both available numeric columns.\",\n        \"question_ids\": [\n          \"amount_column\"\n        ]\n      },\n      {\n        \"step\": \"compare\",\n        \"status\": \"confident\",\n        \"summary\": \"Compare Q2 2026 (Apr–Jun) with Q1 2026 (Jan–Mar).\",\n        \"reason\": \"The available months cover Q1 and Q2 2026.\",\n        \"question_ids\": []\n      },\n      {\n        \"step\": \"include\",\n        \"status\": \"confident\",\n        \"summary\": \"Include all main data.\",\n        \"reason\": \"No specific filters were requested.\",\n        \"question_ids\": []\n      },\n      {\n        \"step\": \"group\",\n        \"status\": \"confident\",\n        \"summary\": \"Group by Country.\",\n        \"reason\": \"You requested grouping by country.\",\n        \"question_ids\": []\n      },\n      {\n        \"step\": \"important\",\n        \"status\": \"confident\",\n        \"summary\": \"Explain movements above 300,000.\",\n        \"reason\": \"Preserved default threshold and top 15 movements.\",\n        \"question_ids\": []\n      },\n      {\n        \"step\": \"explain\",\n        \"status\": \"confident\",\n        \"summary\": \"Use standard controller commentary.\",\n        \"reason\": \"Preserved default commentary settings.\",\n        \"question_ids\": []\n      }\n    ]\n  },\n  \"confidence\": \"medium\",\n  \"rationale\": \"Configured quarter-on-quarter comparison for Q2 2026 versus Q1 2026 grouped by Country. Confirmation is needed for the Amount column.\",\n  \"questions\": [\n    {\n      \"id\": \"amount_column\",\n      \"text\": \"Which column should be used as the Amount column?\",\n      \"options\": [\n        \"Use Functional_Net as the Amount column.\",\n        \"Use Accounted_Dr as the Amount column.\"\n      ]\n    }\n  ],\n  \"warnings\": [],\n  \"summary\": \"Set up comparison of Q2 2026 against Q1 2026 grouped by Country. Please select the Amount column to proceed.\",\n  \"changes\": [\n    {\n      \"setting\": \"Compare with\",\n      \"from\": \"Not set\",\n      \"to\": \"Q2 2026 (Apr–Jun) vs Q1 2026 (Jan–Mar)\",\n      \"reason\": \"Your request to compare the latest quarter with the previous quarter\"\n    },\n    {\n      \"setting\": \"Group by\",\n      \"from\": \"Total\",\n      \"to\": \"Country\",\n      \"reason\": \"Your request to group by country\"\n    }\n  ]\n}"}}</t>
  </si>
  <si>
    <t>{"transport_attempt": {"request_id": "4c39fbef-18f1-4471-a487-834a3325b6b2", "step": "repair", "envelope_size": 16579, "duration": 11.931, "status": "ok", "response": "{\n  \"contract_version\": \"journey-1\",\n  \"request_id\": \"4c39fbef-18f1-4471-a487-834a3325b6b2\",\n  \"step\": \"plan_from_description\",\n  \"status\": \"needs_input\",\n  \"proposal\": {\n    \"patch\": [\n      {\n        \"op\": \"replace\",\n        \"path\": \"/comparison\",\n        \"value\": {\n          \"type\": \"quarter_vs_quarter\",\n          \"base\": {\n            \"months\": [\n              \"2026-01\",\n              \"2026-02\",\n              \"2026-03\"\n            ]\n          },\n          \"current\": {\n            \"months\": [\n              \"2026-04\",\n              \"2026-05\",\n              \"2026-06\"\n            ]\n          }\n        }\n      },\n      {\n        \"op\": \"replace\",\n        \"path\": \"/roles/dimensions\",\n        \"value\": [\n          \"Country\"\n        ]\n      },\n      {\n        \"op\": \"replace\",\n        \"path\": \"/roles/period\",\n        \"value\": \"Period_Name\"\n      },\n      {\n        \"op\": \"replace\",\n        \"path\": \"/views\",\n        \"value\": [\n          {\n            \"name\": \"By country\",\n            \"keys\": [\n              \"Country\"\n            ],\n            \"measures\": [\n              \"amount\"\n            ],\n            \"compare\": true\n          }\n        ]\n      },\n      {\n        \"op\": \"replace\",\n        \"path\": \"/drivers\",\n        \"value\": {\n          \"view\": \"By country\",\n          \"materiality\": {\n            \"mode\": \"abs\",\n            \"abs\": 300000\n          },\n          \"top_n\": 15,\n          \"others_label\": \"Other items\"\n        }\n      }\n    ],\n    \"step_states\": [\n      {\n        \"step\": \"data\",\n        \"status\": \"needs_input\",\n        \"summary\": \"Choose the Amount column.\",\n        \"reason\": \"Functional_Net and Accounted_Dr are both available numeric columns.\",\n        \"question_ids\": [\n          \"amount_column\"\n        ]\n      },\n      {\n        \"step\": \"compare\",\n        \"status\": \"confident\",\n        \"summary\": \"Compare Q2 2026 (Apr–Jun) with Q1 2026 (Jan–Mar).\",\n        \"reason\": \"The available months cover Q1 and Q2 2026.\",\n        \"question_ids\": []\n      },\n      {\n        \"step\": \"include\",\n        \"status\": \"confident\",\n        \"summary\": \"Include all main data.\",\n        \"reason\": \"No specific filters were requested.\",\n        \"question_ids\": []\n      },\n      {\n        \"step\": \"group\",\n        \"status\": \"confident\",\n        \"summary\": \"Group by Country.\",\n        \"reason\": \"You requested grouping by country.\",\n        \"question_ids\": []\n      },\n      {\n        \"step\": \"important\",\n        \"status\": \"confident\",\n        \"summary\": \"Explain movements above 300,000.\",\n        \"reason\": \"Preserved default threshold and top 15 movements.\",\n        \"question_ids\": []\n      },\n      {\n        \"step\": \"explain\",\n        \"status\": \"confident\",\n        \"summary\": \"Use standard controller commentary.\",\n        \"reason\": \"Preserved default commentary settings.\",\n        \"question_ids\": []\n      }\n    ]\n  },\n  \"confidence\": \"medium\",\n  \"rationale\": \"Configured quarter-on-quarter comparison for Q2 2026 versus Q1 2026 grouped by Country and updated driver settings to reference the new view. Confirmation is needed for the Amount column.\",\n  \"questions\": [\n    {\n      \"id\": \"amount_column\",\n      \"text\": \"Which column should be used as the Amount column?\",\n      \"options\": [\n        \"Use Functional_Net as the Amount column.\",\n        \"Use Accounted_Dr as the Amount column.\"\n      ]\n    }\n  ],\n  \"warnings\": [],\n  \"summary\": \"Set up comparison of Q2 2026 against Q1 2026 grouped by Country. Please select the Amount column to proceed.\",\n  \"changes\": [\n    {\n      \"setting\": \"Compare with\",\n      \"from\": \"Not set\",\n      \"to\": \"Q2 2026 (Apr–Jun) vs Q1 2026 (Jan–Mar)\",\n      \"reason\": \"Your request to compare the latest quarter with the previous quarter\"\n    },\n    {\n      \"setting\": \"Group by\",\n      \"from\": \"Total\",\n      \"to\": \"Country\",\n      \"reason\": \"Your request to group by country\"\n    }\n  ]\n}"}}</t>
  </si>
  <si>
    <t>{"transport_attempt": {"request_id": "deeea1a0-83b6-4712-a468-7161413682d5", "step": "map_columns", "envelope_size": 7124, "duration": 9.314, "status": "ok", "response": "{\n  \"contract_version\": \"journey-1\",\n  \"request_id\": \"deeea1a0-83b6-4712-a468-7161413682d5\",\n  \"step\": \"map_columns\",\n  \"status\": \"needs_input\",\n  \"proposal\": {\n    \"roles\": {\n      \"value\": \"Functional_Net\",\n      \"period\": \"Period_Name\",\n      \"scenario\": null,\n      \"debit\": \"Accounted_Dr\",\n      \"credit\": \"Accounted_Cr\",\n      \"keys\": [\"Po_Number\"],\n      \"dimensions\": [\"Country\", \"Region\", \"Account\"],\n      \"driver_text\": [\"FAH_Line_Description\", \"FAH_Event_Type\"]\n    },\n    \"unmapped\": []\n  },\n  \"confidence\": \"medium\",\n  \"rationale\": \"Multiple numeric fields are present in the dataset (Functional_Net, Accounted_Dr, and Accounted_Cr). We propose Functional_Net as the primary Amount column, with Accounted_Dr and Accounted_Cr available as debit and credit, but user confirmation is required.\",\n  \"questions\": [\n    {\n      \"id\": \"select_amount_column\",\n      \"text\": \"Which column should be used as the primary Amount column?\",\n      \"options\": [\n        \"Use Functional_Net as the Amount column.\",\n        \"Use Accounted_Dr and Accounted_Cr as separate debit and credit columns.\"\n      ]\n    }\n  ],\n  \"warnings\": [],\n  \"summary\": \"We identified Period_Name as the Month column and proposed Functional_Net as the Amount column, Country and Region as Group by columns, and FAH_Line_Description for movement descriptions. Please confirm which amount column you would like to use.\",\n  \"changes\": [\n    {\n      \"setting\": \"Amount column\",\n      \"from\": \"Unmapped\",\n      \"to\": \"Functional_Net\",\n      \"reason\": \"Proposed as the primary net amount measure\"\n    },\n    {\n      \"setting\": \"Description column\",\n      \"from\": \"Unmapped\",\n      \"to\": \"FAH_Line_Description, FAH_Event_Type\",\n      \"reason\": \"Identified as descriptive text explaining line movements\"\n    }\n  ]\n}"}}</t>
  </si>
  <si>
    <t>{"transport_attempt": {"request_id": "163fece1-9871-4741-805d-e51668fc8477", "step": "define_rules", "envelope_size": 8524, "duration": 11.013, "status": "ok", "response": "{\n  \"contract_version\": \"journey-1\",\n  \"request_id\": \"163fece1-9871-4741-805d-e51668fc8477\",\n  \"step\": \"define_rules\",\n  \"status\": \"ok\",\n  \"proposal\": {\n    \"measures\": {\n      \"amount\": {\n        \"agg\": \"sum\",\n        \"col\": \"Functional_Net\"\n      }\n    },\n    \"views\": [\n      {\n        \"name\": \"By country\",\n        \"keys\": [\"Country\"],\n        \"measures\": [\"amount\"],\n        \"compare\": true\n      }\n    ],\n    \"sections\": null,\n    \"decompose\": null,\n    \"flags\": [],\n    \"gates\": [],\n    \"drivers\": {\n      \"view\": \"By country\",\n      \"measure\": \"amount\",\n      \"materiality\": {\n        \"mode\": \"abs\",\n        \"abs\": 300000\n      },\n      \"top_n\": 15,\n      \"others_label\": \"Other items\"\n    },\n    \"drill\": {\n      \"top_n\": 5\n    },\n    \"commentary\": {\n      \"units\": \"M\",\n      \"decimals\": 1,\n      \"verify_tag\": \"[TO VERIFY]\",\n      \"sign_style\": \"plus_minus\",\n      \"currency_symbol\": \"$\",\n      \"forbidden_terms\": [],\n      \"max_line_words\": 35\n    },\n    \"controls\": [\n      {\n        \"id\": \"required_columns\",\n        \"severity\": \"stop\"\n      },\n      {\n        \"id\": \"periods_present\",\n        \"severity\": \"stop\"\n      },\n      {\n        \"id\": \"no_duplicate_periods_across_files\",\n        \"severity\": \"stop\"\n      },\n      {\n        \"id\": \"new_or_removed_members\",\n        \"severity\": \"warn\"\n      },\n      {\n        \"id\": \"drivers_reconcile\",\n        \"severity\": \"stop\"\n      },\n      {\n        \"id\": \"flags_sum_to_rows\",\n        \"severity\": \"stop\"\n      },\n      {\n        \"id\": \"sections_reconcile\",\n        \"severity\": \"stop\"\n      },\n      {\n        \"id\": \"join_unmatched_keys\",\n        \"severity\": \"warn\"\n      },\n      {\n        \"id\": \"join_fanout\",\n        \"severity\": \"stop\"\n      },\n      {\n        \"id\": \"classification_coverage\",\n        \"severity\": \"warn\",\n        \"params\": {\n          \"minimum_percentage\": 95\n        }\n      },\n      {\n        \"id\": \"partial_period_used\",\n        \"severity\": \"warn\"\n      }\n    ],\n    \"value_rules\": {\n      \"source\": \"column\",\n      \"null_as_zero\": true,\n      \"flip_sign_when\": []\n    },\n    \"joins\": [],\n    \"classification\": null\n  },\n  \"confidence\": \"high\",\n  \"rationale\": \"Defined the primary additive sum measure using Functional_Net to support movement reconciliation in the By country view, while preserving all existing drivers, settings, and mandatory controls.\",\n  \"questions\": [],\n  \"warnings\": [],\n  \"summary\": \"Set up the amount measure using Functional_Net, grouped by Country, explaining movements above $300,000 for up to fifteen items.\",\n  \"changes\": [\n    {\n      \"setting\": \"Amount column\",\n      \"from\": \"Not set\",\n      \"to\": \"Sum of Functional_Net\",\n      \"reason\": \"Provide an additive measure for country variance reconciliation\"\n    }\n  ]\n}"}}</t>
  </si>
  <si>
    <t>{"timestamp": "2026-10-29T09:23:58.488698+00:00", "response": {"contract_version": "journey-1", "request_id": "c26643b9-f3fc-4a6d-b74e-9cd664f37b04", "step": "write_commentary", "status": "ok", "proposal": {"headline": "Variance commentary by country", "lines": [{"driver_id": "d1", "text": "+$1.0M — United Kingdom. Descriptions include Data centre cooling maintenance / Operational.", "support": "supported", "evidence_refs": ["driver:d1", "text:d1:1"], "claims": [{"type": "observation", "text": "United Kingdom moved by +$1.0M from $2.9M to $3.8M.", "evidence_refs": ["driver:d1"]}, {"type": "observation", "text": "Descriptions include Data centre cooling maintenance / Operational.", "evidence_refs": ["text:d1:1"]}]}, {"driver_id": "d2", "text": "+$0.9M — Germany. Descriptions include Emergency generator servicing / Operational.", "support": "supported", "evidence_refs": ["driver:d2", "text:d2:1"], "claims": [{"type": "observation", "text": "Germany moved by +$0.9M from $1.9M to $2.7M.", "evidence_refs": ["driver:d2"]}, {"type": "observation", "text": "Descriptions include Emergency generator servicing / Operational.", "evidence_refs": ["text:d2:1"]}]}, {"driver_id": "d3", "text": "-$0.6M — Netherlands. Descriptions include Preventive maintenance contract / Operational.", "support": "supported", "evidence_refs": ["driver:d3", "text:d3:1"], "claims": [{"type": "observation", "text": "Netherlands moved by -$0.6M from $2.2M to $1.6M.", "evidence_refs": ["driver:d3"]}, {"type": "observation", "text": "Descriptions include Preventive maintenance contract / Operational.", "evidence_refs": ["text:d3:1"]}]}, {"driver_id": "others", "text": "+$0.2M — Other items. Remaining movements below the materiality threshold, grouped by the engine.", "support": "supported", "evidence_refs": ["driver:others"], "claims": [{"type": "observation", "text": "Other items moved by +$0.2M from $2.6M to $2.8M.", "evidence_refs": ["driver:others"]}]}], "others_summary": ""}, "confidence": "high", "rationale": "Drafted factual commentary for all four movements using exact tokens, observed descriptions, and cited evidence references.", "questions": [], "warnings": [], "summary": "Commentary drafted for United Kingdom, Germany, Netherlands, and Other items.", "changes": [], "validation": {"ok": true, "issues": [], "line_results": [{"driver_id": "d1", "ok": true, "issues": []}, {"driver_id": "d2", "ok": true, "issues": []}, {"driver_id": "d3", "ok": true, "issues": []}, {"driver_id": "others", "ok": true, "issues": []}]}, "applied": false}}</t>
  </si>
  <si>
    <t>{"transport_attempt": {"request_id": "c26643b9-f3fc-4a6d-b74e-9cd664f37b04", "step": "write_commentary", "envelope_size": 14589, "duration": 12.117, "status": "ok", "response": "{\n \"contract_version\": \"journey-1\",\n \"request_id\": \"c26643b9-f3fc-4a6d-b74e-9cd664f37b04\",\n \"step\": \"write_commentary\",\n \"status\": \"ok\",\n \"proposal\": {\n  \"headline\": \"Variance commentary by country\",\n  \"lines\": [\n   {\n    \"driver_id\": \"d1\",\n    \"text\": \"+$1.0M — United Kingdom. Descriptions include Data centre cooling maintenance / Operational.\",\n    \"support\": \"supported\",\n    \"evidence_refs\": [\n     \"driver:d1\",\n     \"text:d1:1\"\n    ],\n    \"claims\": [\n     {\n      \"type\": \"observation\",\n      \"text\": \"United Kingdom moved by +$1.0M from $2.9M to $3.8M.\",\n      \"evidence_refs\": [\n       \"driver:d1\"\n      ]\n     },\n     {\n      \"type\": \"observation\",\n      \"text\": \"Descriptions include Data centre cooling maintenance / Operational.\",\n      \"evidence_refs\": [\n       \"text:d1:1\"\n      ]\n     }\n    ]\n   },\n   {\n    \"driver_id\": \"d2\",\n    \"text\": \"+$0.9M — Germany. Descriptions include Emergency generator servicing / Operational.\",\n    \"support\": \"supported\",\n    \"evidence_refs\": [\n     \"driver:d2\",\n     \"text:d2:1\"\n    ],\n    \"claims\": [\n     {\n      \"type\": \"observation\",\n      \"text\": \"Germany moved by +$0.9M from $1.9M to $2.7M.\",\n      \"evidence_refs\": [\n       \"driver:d2\"\n      ]\n     },\n     {\n      \"type\": \"observation\",\n      \"text\": \"Descriptions include Emergency generator servicing / Operational.\",\n      \"evidence_refs\": [\n       \"text:d2:1\"\n      ]\n     }\n    ]\n   },\n   {\n    \"driver_id\": \"d3\",\n    \"text\": \"-$0.6M — Netherlands. Descriptions include Preventive maintenance contract / Operational.\",\n    \"support\": \"supported\",\n    \"evidence_refs\": [\n     \"driver:d3\",\n     \"text:d3:1\"\n    ],\n    \"claims\": [\n     {\n      \"type\": \"observation\",\n      \"text\": \"Netherlands moved by -$0.6M from $2.2M to $1.6M.\",\n      \"evidence_refs\": [\n       \"driver:d3\"\n      ]\n     },\n     {\n      \"type\": \"observation\",\n      \"text\": \"Descriptions include Preventive maintenance contract / Operational.\",\n      \"evidence_refs\": [\n       \"text:d3:1\"\n      ]\n     }\n    ]\n   },\n   {\n    \"driver_id\": \"others\",\n    \"text\": \"+$0.2M — Other items. Remaining movements below the materiality threshold, grouped by the engine.\",\n    \"support\": \"supported\",\n    \"evidence_refs\": [\n     \"driver:others\"\n    ],\n    \"claims\": [\n     {\n      \"type\": \"observation\",\n      \"text\": \"Other items moved by +$0.2M from $2.6M to $2.8M.\",\n      \"evidence_refs\": [\n       \"driver:others\"\n      ]\n     }\n    ]\n   }\n  ],\n  \"others_summary\": \"\"\n },\n \"confidence\": \"high\",\n \"rationale\": \"Drafted factual commentary for all four movements using exact tokens, observed descriptions, and cited evidence references.\",\n \"questions\": [],\n \"warnings\": [],\n \"summary\": \"Commentary drafted for United Kingdom, Germany, Netherlands, and Other items.\",\n \"changes\": []\n}"}}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</si>
  <si>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</si>
  <si>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</si>
  <si>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</si>
  <si>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</si>
  <si>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</si>
  <si>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</si>
  <si>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</si>
  <si>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"Untitled analysis",</t>
  </si>
  <si>
    <t xml:space="preserve">  "sources": {</t>
  </si>
  <si>
    <t xml:space="preserve">    "lookups": {</t>
  </si>
  <si>
    <t xml:space="preserve">      "open_po": {</t>
  </si>
  <si>
    <t xml:space="preserve">        "files": [</t>
  </si>
  <si>
    <t xml:space="preserve">          {</t>
  </si>
  <si>
    <t xml:space="preserve">            "file": "Sample_Open_PO.xlsx",</t>
  </si>
  <si>
    <t xml:space="preserve">            "sheet": "Open PO Report ",</t>
  </si>
  <si>
    <t xml:space="preserve">            "header_row": 1,</t>
  </si>
  <si>
    <t xml:space="preserve">            "start_col": "A",</t>
  </si>
  <si>
    <t xml:space="preserve">            "end_col": null</t>
  </si>
  <si>
    <t xml:space="preserve">          }</t>
  </si>
  <si>
    <t xml:space="preserve">        ]</t>
  </si>
  <si>
    <t xml:space="preserve">      }</t>
  </si>
  <si>
    <t xml:space="preserve">    },</t>
  </si>
  <si>
    <t xml:space="preserve">    "primary": {</t>
  </si>
  <si>
    <t xml:space="preserve">      "files": [</t>
  </si>
  <si>
    <t xml:space="preserve">        {</t>
  </si>
  <si>
    <t xml:space="preserve">          "file": "Sample_GL_2026.csv",</t>
  </si>
  <si>
    <t xml:space="preserve">          "sheet": "(csv)",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</si>
  <si>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</si>
  <si>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</si>
  <si>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</si>
  <si>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</si>
  <si>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</si>
  <si>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</si>
  <si>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</si>
  <si>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</si>
  <si>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</si>
  <si>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</si>
  <si>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</si>
  <si>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</si>
  <si>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</si>
  <si>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"debit": "Accounted_Dr",</t>
  </si>
  <si>
    <t xml:space="preserve">    "credit": "Accounted_Cr",</t>
  </si>
  <si>
    <t xml:space="preserve">    "keys": [</t>
  </si>
  <si>
    <t xml:space="preserve">      "Po_Number"</t>
  </si>
  <si>
    <t xml:space="preserve">    ],</t>
  </si>
  <si>
    <t xml:space="preserve">    "dimensions": [</t>
  </si>
  <si>
    <t xml:space="preserve">      "Country",</t>
  </si>
  <si>
    <t xml:space="preserve">      "Region",</t>
  </si>
  <si>
    <t xml:space="preserve">      "Account"</t>
  </si>
  <si>
    <t xml:space="preserve">    "driver_text": [</t>
  </si>
  <si>
    <t xml:space="preserve">      "FAH_Line_Description",</t>
  </si>
  <si>
    <t xml:space="preserve">      "FAH_Event_Type"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</si>
  <si>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</si>
  <si>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</si>
  <si>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</si>
  <si>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</si>
  <si>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</si>
  <si>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</si>
  <si>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</si>
  <si>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</si>
  <si>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</si>
  <si>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</si>
  <si>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</si>
  <si>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</si>
  <si>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"quarter_vs_quarter",</t>
  </si>
  <si>
    <t xml:space="preserve">    "base": {</t>
  </si>
  <si>
    <t xml:space="preserve">      "months": [</t>
  </si>
  <si>
    <t xml:space="preserve">        "2026-01",</t>
  </si>
  <si>
    <t xml:space="preserve">        "2026-02",</t>
  </si>
  <si>
    <t xml:space="preserve">        "2026-03"</t>
  </si>
  <si>
    <t xml:space="preserve">      ]</t>
  </si>
  <si>
    <t xml:space="preserve">    "current": {</t>
  </si>
  <si>
    <t xml:space="preserve">        "2026-04",</t>
  </si>
  <si>
    <t xml:space="preserve">        "2026-05",</t>
  </si>
  <si>
    <t xml:space="preserve">        "2026-06"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</si>
  <si>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</si>
  <si>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</si>
  <si>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</si>
  <si>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</si>
  <si>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</si>
  <si>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"Functional_Net"</t>
  </si>
  <si>
    <t xml:space="preserve">  "views": [</t>
  </si>
  <si>
    <t xml:space="preserve">    {</t>
  </si>
  <si>
    <t xml:space="preserve">      "name": "By country",</t>
  </si>
  <si>
    <t xml:space="preserve">      "keys": [</t>
  </si>
  <si>
    <t xml:space="preserve">        "Country"</t>
  </si>
  <si>
    <t xml:space="preserve">      "measures": [</t>
  </si>
  <si>
    <t xml:space="preserve">        "amount"</t>
  </si>
  <si>
    <t xml:space="preserve">      "compare": true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</si>
  <si>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</si>
  <si>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</si>
  <si>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</si>
  <si>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</si>
  <si>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</si>
  <si>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</si>
  <si>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</si>
  <si>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</si>
  <si>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</si>
  <si>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</si>
  <si>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</si>
  <si>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"view": "By country",</t>
  </si>
  <si>
    <t xml:space="preserve">    "measure": "amount"</t>
  </si>
  <si>
    <t xml:space="preserve">  "drill": {</t>
  </si>
  <si>
    <t xml:space="preserve">    "top_n": 5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</si>
  <si>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</si>
  <si>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</si>
  <si>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</si>
  <si>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</si>
  <si>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</si>
  <si>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</si>
  <si>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</si>
  <si>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</si>
  <si>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</si>
  <si>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</si>
  <si>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</si>
  <si>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</si>
  <si>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</si>
  <si>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</si>
  <si>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</si>
  <si>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</si>
  <si>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</si>
  <si>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</si>
  <si>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</si>
  <si>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</si>
  <si>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</si>
  <si>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</si>
  <si>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</si>
  <si>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</si>
  <si>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</si>
  <si>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</si>
  <si>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"23add893b2934907986f52e0d5b85df8",</t>
  </si>
  <si>
    <t xml:space="preserve">    "created": "2026-10-29T09:23:23.418345+00:00",</t>
  </si>
  <si>
    <t xml:space="preserve">    "engine_version": "2.0",</t>
  </si>
  <si>
    <t xml:space="preserve">    "spec_sha256": "dee57d288ab01299b16e1d959afa993420d8c9d060d8e9b804e08cafc2ba6c9e",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</si>
  <si>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</si>
  <si>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</si>
  <si>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</si>
  <si>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</si>
  <si>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</si>
  <si>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"Sample_GL_2026.csv",</t>
  </si>
  <si>
    <t xml:space="preserve">        "sha256": "0136e4a15d177b4fc05eae2908fe6afed79ef71a1ee4028333e677ccf807b1bd",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</si>
  <si>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</si>
  <si>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</si>
  <si>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</si>
  <si>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</si>
  <si>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"Sample_GL_2026",</t>
  </si>
  <si>
    <t xml:space="preserve">          "combine_sheets": [],</t>
  </si>
  <si>
    <t xml:space="preserve">          "tag_column": null</t>
  </si>
  <si>
    <t xml:space="preserve">      },</t>
  </si>
  <si>
    <t xml:space="preserve">        "name": "Sample_Open_PO.xlsx",</t>
  </si>
  <si>
    <t xml:space="preserve">        "sha256": "546b8d66f1027955ee8b8038883a511aa4956b72470bc8e599b840fa49686e5f",</t>
  </si>
  <si>
    <t xml:space="preserve">        "role": "lookup",</t>
  </si>
  <si>
    <t xml:space="preserve">          "sheet": "Open PO Report ",</t>
  </si>
  <si>
    <t xml:space="preserve">          "role": "lookup",</t>
  </si>
  <si>
    <t xml:space="preserve">          "name": "open_po",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</si>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</sst>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2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9" fillId="0" borderId="0" xfId="0" applyFont="1" applyAlignment="1">
      <alignment vertical="top"/>
    </xf>
    <xf numFmtId="168" fontId="7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4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65</v>
      </c>
    </row>
    <row r="4" spans="1:7">
      <c r="A4" s="3" t="s">
        <v>66</v>
      </c>
      <c r="B4" s="3" t="s">
        <v>67</v>
      </c>
      <c r="C4" s="3" t="s">
        <v>40</v>
      </c>
      <c r="D4" s="3" t="s">
        <v>68</v>
      </c>
      <c r="E4" s="3" t="s">
        <v>19</v>
      </c>
    </row>
    <row r="5" spans="1:7" ht="21.75" customHeight="1">
      <c r="A5" s="4">
        <f>SUMPRODUCT((ISNUMBER(MATCH(Data!$B$2:$B$31,BaseMonths,0)))*Data!$C$2:$C$31)</f>
        <v>9480021.57</v>
      </c>
      <c r="B5" s="4">
        <f>SUMPRODUCT((ISNUMBER(MATCH(Data!$B$2:$B$31,CurrentMonths,0)))*Data!$C$2:$C$31)</f>
        <v>10979957.02</v>
      </c>
      <c r="C5" s="4">
        <f>B5-A5</f>
        <v>1499935.45</v>
      </c>
      <c r="D5" s="5">
        <f>IF(A5=0,"",C5/ABS(A5))</f>
        <v>0.15822067902742123</v>
      </c>
      <c r="E5" s="4">
        <f>Threshold</f>
        <v>300000.0</v>
      </c>
    </row>
    <row r="7" spans="1:7">
      <c r="A7" s="6" t="s">
        <v>69</v>
      </c>
      <c r="B7" s="6"/>
      <c r="C7" s="6"/>
      <c r="D7" s="6"/>
      <c r="E7" s="6"/>
      <c r="F7" s="6"/>
      <c r="G7" s="6"/>
    </row>
    <row r="8" spans="1:7" ht="27.75" customHeight="1">
      <c r="A8" s="3" t="s">
        <v>70</v>
      </c>
      <c r="B8" s="3" t="s">
        <v>52</v>
      </c>
      <c r="C8" s="3" t="s">
        <v>71</v>
      </c>
      <c r="D8" s="3" t="s">
        <v>62</v>
      </c>
    </row>
    <row r="9" spans="1:7">
      <c r="A9" s="7">
        <f>COUNTIF(Commentary!$H$2:$H$5,"Needs explanation")</f>
        <v>0</v>
      </c>
      <c r="B9" s="7">
        <f>COUNTIF(Commentary!$H$2:$H$5,"Explained by AI — please review")</f>
        <v>3</v>
      </c>
      <c r="C9" s="7">
        <f>COUNTIF(Commentary!$H$2:$H$5,"Confirmed")</f>
        <v>0</v>
      </c>
      <c r="D9" s="7">
        <f>COUNTIF(Commentary!$H$2:$H$5,"Below threshold")</f>
        <v>1</v>
      </c>
    </row>
    <row r="10" spans="1:7">
      <c r="A10" s="8" t="s">
        <v>72</v>
      </c>
    </row>
    <row r="12" spans="1:7">
      <c r="A12" s="6" t="s">
        <v>73</v>
      </c>
      <c r="B12" s="6"/>
      <c r="C12" s="6"/>
      <c r="D12" s="6"/>
      <c r="E12" s="6"/>
      <c r="F12" s="6"/>
      <c r="G12" s="6"/>
    </row>
    <row r="13" spans="1:7">
      <c r="A13" s="9" t="s">
        <v>74</v>
      </c>
      <c r="B13" s="9"/>
      <c r="C13" s="9"/>
      <c r="D13" s="9"/>
      <c r="E13" s="9"/>
      <c r="F13" s="9"/>
      <c r="G13" s="9"/>
    </row>
    <row r="15" spans="1:7">
      <c r="A15" s="6" t="s">
        <v>75</v>
      </c>
      <c r="B15" s="6"/>
      <c r="C15" s="6"/>
      <c r="D15" s="6"/>
      <c r="E15" s="6"/>
      <c r="F15" s="6"/>
      <c r="G15" s="6"/>
    </row>
    <row r="16" spans="1:7">
      <c r="A16" s="10" t="s">
        <v>40</v>
      </c>
      <c r="B16" s="10" t="s">
        <v>41</v>
      </c>
      <c r="C16" s="10" t="s">
        <v>42</v>
      </c>
      <c r="D16" s="10" t="s">
        <v>43</v>
      </c>
      <c r="E16" s="10" t="s">
        <v>44</v>
      </c>
      <c r="F16" s="10" t="s">
        <v>46</v>
      </c>
      <c r="G16" s="10" t="s">
        <v>47</v>
      </c>
    </row>
    <row r="17" spans="1:7">
      <c r="A17" s="9" t="s">
        <v>39</v>
      </c>
      <c r="B17" s="11">
        <f>'Commentary'!$C$2</f>
        <v>2850000.0</v>
      </c>
      <c r="C17" s="11">
        <f>'Commentary'!$D$2</f>
        <v>3840000.0</v>
      </c>
      <c r="D17" s="11">
        <f>'Commentary'!$E$2</f>
        <v>990000.0</v>
      </c>
      <c r="E17" s="12">
        <f>IF(B17=0,"",D17/ABS(B17))</f>
        <v>0.3473684210526316</v>
      </c>
      <c r="F17" s="9" t="s">
        <v>52</v>
      </c>
      <c r="G17" s="13" t="s">
        <v>53</v>
      </c>
    </row>
    <row r="18" spans="1:7">
      <c r="A18" s="9" t="s">
        <v>36</v>
      </c>
      <c r="B18" s="11">
        <f>'Commentary'!$C$3</f>
        <v>1860000.0</v>
      </c>
      <c r="C18" s="11">
        <f>'Commentary'!$D$3</f>
        <v>2730000.0</v>
      </c>
      <c r="D18" s="11">
        <f>'Commentary'!$E$3</f>
        <v>870000.0</v>
      </c>
      <c r="E18" s="12">
        <f>IF(B18=0,"",D18/ABS(B18))</f>
        <v>0.46774193548387094</v>
      </c>
      <c r="F18" s="9" t="s">
        <v>52</v>
      </c>
      <c r="G18" s="13" t="s">
        <v>57</v>
      </c>
    </row>
    <row r="19" spans="1:7">
      <c r="A19" s="9" t="s">
        <v>37</v>
      </c>
      <c r="B19" s="11">
        <f>'Commentary'!$C$4</f>
        <v>2220021.57</v>
      </c>
      <c r="C19" s="11">
        <f>'Commentary'!$D$4</f>
        <v>1619957.02</v>
      </c>
      <c r="D19" s="11">
        <f>'Commentary'!$E$4</f>
        <v>-600064.55</v>
      </c>
      <c r="E19" s="12">
        <f>IF(B19=0,"",D19/ABS(B19))</f>
        <v>-0.27029672058546717</v>
      </c>
      <c r="F19" s="9" t="s">
        <v>52</v>
      </c>
      <c r="G19" s="13" t="s">
        <v>59</v>
      </c>
    </row>
    <row r="20" spans="1:7">
      <c r="A20" s="9" t="s">
        <v>22</v>
      </c>
      <c r="B20" s="11">
        <f>'Commentary'!$C$5</f>
        <v>2550000.0</v>
      </c>
      <c r="C20" s="11">
        <f>'Commentary'!$D$5</f>
        <v>2790000.0</v>
      </c>
      <c r="D20" s="11">
        <f>'Commentary'!$E$5</f>
        <v>240000.0</v>
      </c>
      <c r="E20" s="12">
        <f>IF(B20=0,"",D20/ABS(B20))</f>
        <v>0.09411764705882353</v>
      </c>
      <c r="F20" s="9" t="s">
        <v>62</v>
      </c>
      <c r="G20" s="13" t="s">
        <v>63</v>
      </c>
    </row>
    <row r="22" spans="1:7">
      <c r="A22" s="6" t="s">
        <v>76</v>
      </c>
      <c r="B22" s="6"/>
      <c r="C22" s="6"/>
      <c r="D22" s="6"/>
      <c r="E22" s="6"/>
      <c r="F22" s="6"/>
      <c r="G22" s="6"/>
    </row>
    <row r="23" spans="1:7">
      <c r="A23" s="14" t="s">
        <v>77</v>
      </c>
    </row>
    <row r="24" spans="1:7">
      <c r="A24" s="8" t="s">
        <v>78</v>
      </c>
      <c r="B24" s="9" t="s">
        <v>79</v>
      </c>
      <c r="C24" s="9"/>
      <c r="D24" s="9"/>
      <c r="E24" s="9"/>
      <c r="F24" s="9"/>
      <c r="G24" s="9"/>
    </row>
    <row r="25" spans="1:7">
      <c r="A25" s="8" t="s">
        <v>80</v>
      </c>
      <c r="B25" s="9" t="s">
        <v>81</v>
      </c>
      <c r="C25" s="9"/>
      <c r="D25" s="9"/>
      <c r="E25" s="9"/>
      <c r="F25" s="9"/>
      <c r="G25" s="9"/>
    </row>
    <row r="26" spans="1:7">
      <c r="A26" s="8" t="s">
        <v>82</v>
      </c>
      <c r="B26" s="9" t="s">
        <v>83</v>
      </c>
      <c r="C26" s="9"/>
      <c r="D26" s="9"/>
      <c r="E26" s="9"/>
      <c r="F26" s="9"/>
      <c r="G26" s="9"/>
    </row>
    <row r="28" spans="1:7">
      <c r="A28" s="14" t="s">
        <v>84</v>
      </c>
    </row>
    <row r="29" spans="1:7">
      <c r="A29" s="8" t="s">
        <v>85</v>
      </c>
      <c r="B29" s="9" t="s">
        <v>86</v>
      </c>
      <c r="C29" s="9"/>
      <c r="D29" s="9"/>
      <c r="E29" s="9"/>
      <c r="F29" s="9"/>
      <c r="G29" s="9"/>
    </row>
    <row r="30" spans="1:7">
      <c r="A30" s="8" t="s">
        <v>87</v>
      </c>
      <c r="B30" s="9" t="s">
        <v>88</v>
      </c>
      <c r="C30" s="9"/>
      <c r="D30" s="9"/>
      <c r="E30" s="9"/>
      <c r="F30" s="9"/>
      <c r="G30" s="9"/>
    </row>
    <row r="31" spans="1:7">
      <c r="A31" s="8" t="s">
        <v>89</v>
      </c>
      <c r="B31" s="9" t="s">
        <v>90</v>
      </c>
      <c r="C31" s="9"/>
      <c r="D31" s="9"/>
      <c r="E31" s="9"/>
      <c r="F31" s="9"/>
      <c r="G31" s="9"/>
    </row>
    <row r="32" spans="1:7">
      <c r="A32" s="8" t="s">
        <v>91</v>
      </c>
      <c r="B32" s="9" t="s">
        <v>92</v>
      </c>
      <c r="C32" s="9"/>
      <c r="D32" s="9"/>
      <c r="E32" s="9"/>
      <c r="F32" s="9"/>
      <c r="G32" s="9"/>
    </row>
    <row r="34" spans="1:7">
      <c r="A34" s="14" t="s">
        <v>93</v>
      </c>
    </row>
    <row r="35" spans="1:7">
      <c r="A35" s="8" t="s">
        <v>94</v>
      </c>
      <c r="B35" s="9" t="s">
        <v>95</v>
      </c>
      <c r="C35" s="9"/>
      <c r="D35" s="9"/>
      <c r="E35" s="9"/>
      <c r="F35" s="9"/>
      <c r="G35" s="9"/>
    </row>
    <row r="36" spans="1:7">
      <c r="A36" s="8" t="s">
        <v>96</v>
      </c>
      <c r="B36" s="9" t="s">
        <v>97</v>
      </c>
      <c r="C36" s="9"/>
      <c r="D36" s="9"/>
      <c r="E36" s="9"/>
      <c r="F36" s="9"/>
      <c r="G36" s="9"/>
    </row>
    <row r="37" spans="1:7">
      <c r="A37" s="8" t="s">
        <v>98</v>
      </c>
      <c r="B37" s="9" t="s">
        <v>99</v>
      </c>
      <c r="C37" s="9"/>
      <c r="D37" s="9"/>
      <c r="E37" s="9"/>
      <c r="F37" s="9"/>
      <c r="G37" s="9"/>
    </row>
    <row r="38" spans="1:7">
      <c r="A38" s="8" t="s">
        <v>100</v>
      </c>
      <c r="B38" s="9" t="s">
        <v>101</v>
      </c>
      <c r="C38" s="9"/>
      <c r="D38" s="9"/>
      <c r="E38" s="9"/>
      <c r="F38" s="9"/>
      <c r="G38" s="9"/>
    </row>
    <row r="39" spans="1:7">
      <c r="A39" s="8" t="s">
        <v>102</v>
      </c>
      <c r="B39" s="9" t="s">
        <v>103</v>
      </c>
      <c r="C39" s="9"/>
      <c r="D39" s="9"/>
      <c r="E39" s="9"/>
      <c r="F39" s="9"/>
      <c r="G39" s="9"/>
    </row>
    <row r="41" spans="1:7">
      <c r="A41" s="14" t="s">
        <v>104</v>
      </c>
    </row>
    <row r="42" spans="1:7">
      <c r="A42" s="8" t="s">
        <v>105</v>
      </c>
      <c r="B42" s="9" t="s">
        <v>106</v>
      </c>
      <c r="C42" s="9"/>
      <c r="D42" s="9"/>
      <c r="E42" s="9"/>
      <c r="F42" s="9"/>
      <c r="G42" s="9"/>
    </row>
    <row r="43" spans="1:7">
      <c r="A43" s="8" t="s">
        <v>107</v>
      </c>
      <c r="B43" s="9" t="s">
        <v>108</v>
      </c>
      <c r="C43" s="9"/>
      <c r="D43" s="9"/>
      <c r="E43" s="9"/>
      <c r="F43" s="9"/>
      <c r="G43" s="9"/>
    </row>
    <row r="44" spans="1:7">
      <c r="A44" s="8" t="s">
        <v>109</v>
      </c>
      <c r="B44" s="9" t="s">
        <v>110</v>
      </c>
      <c r="C44" s="9"/>
      <c r="D44" s="9"/>
      <c r="E44" s="9"/>
      <c r="F44" s="9"/>
      <c r="G44" s="9"/>
    </row>
    <row r="45" spans="1:7">
      <c r="A45" s="8" t="s">
        <v>111</v>
      </c>
      <c r="B45" s="9" t="s">
        <v>112</v>
      </c>
      <c r="C45" s="9"/>
      <c r="D45" s="9"/>
      <c r="E45" s="9"/>
      <c r="F45" s="9"/>
      <c r="G45" s="9"/>
    </row>
    <row r="46" spans="1:7">
      <c r="A46" s="8" t="s">
        <v>113</v>
      </c>
      <c r="B46" s="9" t="s">
        <v>114</v>
      </c>
      <c r="C46" s="9"/>
      <c r="D46" s="9"/>
      <c r="E46" s="9"/>
      <c r="F46" s="9"/>
      <c r="G46" s="9"/>
    </row>
    <row r="47" spans="1:7">
      <c r="A47" s="8" t="s">
        <v>115</v>
      </c>
      <c r="B47" s="9" t="s">
        <v>116</v>
      </c>
      <c r="C47" s="9"/>
      <c r="D47" s="9"/>
      <c r="E47" s="9"/>
      <c r="F47" s="9"/>
      <c r="G47" s="9"/>
    </row>
    <row r="49" spans="1:7">
      <c r="A49" s="6" t="s">
        <v>117</v>
      </c>
      <c r="B49" s="6"/>
      <c r="C49" s="6"/>
      <c r="D49" s="6"/>
      <c r="E49" s="6"/>
      <c r="F49" s="6"/>
      <c r="G49" s="6"/>
    </row>
    <row r="50" spans="1:7">
      <c r="A50" s="14" t="s">
        <v>25</v>
      </c>
      <c r="B50" s="9" t="s">
        <v>118</v>
      </c>
      <c r="C50" s="9"/>
      <c r="D50" s="9"/>
      <c r="E50" s="9"/>
      <c r="F50" s="9"/>
      <c r="G50" s="9"/>
    </row>
    <row r="51" spans="1:7">
      <c r="A51" s="14" t="s">
        <v>119</v>
      </c>
      <c r="B51" s="9" t="s">
        <v>120</v>
      </c>
      <c r="C51" s="9"/>
      <c r="D51" s="9"/>
      <c r="E51" s="9"/>
      <c r="F51" s="9"/>
      <c r="G51" s="9"/>
    </row>
    <row r="52" spans="1:7">
      <c r="A52" s="14" t="s">
        <v>23</v>
      </c>
      <c r="B52" s="9" t="s">
        <v>121</v>
      </c>
      <c r="C52" s="9"/>
      <c r="D52" s="9"/>
      <c r="E52" s="9"/>
      <c r="F52" s="9"/>
      <c r="G52" s="9"/>
    </row>
    <row r="53" spans="1:7">
      <c r="A53" s="14" t="s">
        <v>3</v>
      </c>
      <c r="B53" s="9" t="s">
        <v>4</v>
      </c>
      <c r="C53" s="9"/>
      <c r="D53" s="9"/>
      <c r="E53" s="9"/>
      <c r="F53" s="9"/>
      <c r="G53" s="9"/>
    </row>
    <row r="54" spans="1:7">
      <c r="A54" s="14" t="s">
        <v>29</v>
      </c>
      <c r="B54" s="9" t="s">
        <v>30</v>
      </c>
      <c r="C54" s="9"/>
      <c r="D54" s="9"/>
      <c r="E54" s="9"/>
      <c r="F54" s="9"/>
      <c r="G54" s="9"/>
    </row>
  </sheetData>
  <mergeCells count="29">
    <mergeCell ref="A7:G7"/>
    <mergeCell ref="A12:G12"/>
    <mergeCell ref="A13:G13"/>
    <mergeCell ref="A15:G15"/>
    <mergeCell ref="A22:G22"/>
    <mergeCell ref="B24:G24"/>
    <mergeCell ref="B25:G25"/>
    <mergeCell ref="B26:G26"/>
    <mergeCell ref="B29:G29"/>
    <mergeCell ref="B30:G30"/>
    <mergeCell ref="B31:G31"/>
    <mergeCell ref="B32:G32"/>
    <mergeCell ref="B35:G35"/>
    <mergeCell ref="B36:G36"/>
    <mergeCell ref="B37:G37"/>
    <mergeCell ref="B38:G38"/>
    <mergeCell ref="B39:G39"/>
    <mergeCell ref="B42:G42"/>
    <mergeCell ref="B43:G43"/>
    <mergeCell ref="B44:G44"/>
    <mergeCell ref="B45:G45"/>
    <mergeCell ref="B46:G46"/>
    <mergeCell ref="B47:G47"/>
    <mergeCell ref="A49:G49"/>
    <mergeCell ref="B50:G50"/>
    <mergeCell ref="B51:G51"/>
    <mergeCell ref="B52:G52"/>
    <mergeCell ref="B53:G53"/>
    <mergeCell ref="B54:G54"/>
  </mergeCells>
  <hyperlinks>
    <hyperlink ref="A10" location="'Needs Explanation'!A1" display="3 movements still need a person to write or check the explanation — open Needs Explanation"/>
    <hyperlink ref="A24" location="'Summary'!A1" display="Summary"/>
    <hyperlink ref="A25" location="'Needs Explanation'!A1" display="Needs Explanation"/>
    <hyperlink ref="A26" location="'Commentary'!A1" display="Commentary"/>
    <hyperlink ref="A29" location="'Drill-down'!A1" display="Drill-down"/>
    <hyperlink ref="A30" location="'Data checks'!A1" display="Data checks"/>
    <hyperlink ref="A31" location="'Data'!A1" display="Data"/>
    <hyperlink ref="A32" location="'Settings'!A1" display="Settings"/>
    <hyperlink ref="A35" location="'Variance - By country'!A1" display="Variance - By country"/>
    <hyperlink ref="A36" location="'Movement detail'!A1" display="Movement detail"/>
    <hyperlink ref="A37" location="'Source lines'!A1" display="Source lines"/>
    <hyperlink ref="A38" location="'Classifications'!A1" display="Classifications"/>
    <hyperlink ref="A39" location="'Unmatched lookups'!A1" display="Unmatched lookups"/>
    <hyperlink ref="A42" location="'Data controls'!A1" display="Data controls"/>
    <hyperlink ref="A43" location="'Setup changes'!A1" display="Setup changes"/>
    <hyperlink ref="A44" location="'Explanation log'!A1" display="Explanation log"/>
    <hyperlink ref="A45" location="'Run audit'!A1" display="Run audit"/>
    <hyperlink ref="A46" location="'AI assistant log'!A1" display="AI assistant log"/>
    <hyperlink ref="A47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0" t="s">
        <v>40</v>
      </c>
      <c r="B1" s="10" t="s">
        <v>43</v>
      </c>
      <c r="C1" s="10" t="s">
        <v>41</v>
      </c>
      <c r="D1" s="10" t="s">
        <v>42</v>
      </c>
      <c r="E1" s="10" t="s">
        <v>46</v>
      </c>
      <c r="F1" s="10" t="s">
        <v>122</v>
      </c>
      <c r="G1" s="10" t="s">
        <v>123</v>
      </c>
      <c r="H1" s="10" t="s">
        <v>124</v>
      </c>
    </row>
    <row r="2" spans="1:8">
      <c r="A2" s="9" t="s">
        <v>39</v>
      </c>
      <c r="B2" s="11">
        <f>'Commentary'!$E$2</f>
        <v>990000.0</v>
      </c>
      <c r="C2" s="11">
        <f>'Commentary'!$C$2</f>
        <v>2850000.0</v>
      </c>
      <c r="D2" s="11">
        <f>'Commentary'!$D$2</f>
        <v>3840000.0</v>
      </c>
      <c r="E2" s="9" t="s">
        <v>52</v>
      </c>
      <c r="F2" s="13" t="s">
        <v>53</v>
      </c>
      <c r="G2" s="9" t="s">
        <v>125</v>
      </c>
      <c r="H2" s="9" t="s">
        <v>56</v>
      </c>
    </row>
    <row r="3" spans="1:8">
      <c r="A3" s="9" t="s">
        <v>36</v>
      </c>
      <c r="B3" s="11">
        <f>'Commentary'!$E$3</f>
        <v>870000.0</v>
      </c>
      <c r="C3" s="11">
        <f>'Commentary'!$C$3</f>
        <v>1860000.0</v>
      </c>
      <c r="D3" s="11">
        <f>'Commentary'!$D$3</f>
        <v>2730000.0</v>
      </c>
      <c r="E3" s="9" t="s">
        <v>52</v>
      </c>
      <c r="F3" s="13" t="s">
        <v>57</v>
      </c>
      <c r="G3" s="9" t="s">
        <v>125</v>
      </c>
      <c r="H3" s="9" t="s">
        <v>58</v>
      </c>
    </row>
    <row r="4" spans="1:8">
      <c r="A4" s="9" t="s">
        <v>37</v>
      </c>
      <c r="B4" s="11">
        <f>'Commentary'!$E$4</f>
        <v>-600064.55</v>
      </c>
      <c r="C4" s="11">
        <f>'Commentary'!$C$4</f>
        <v>2220021.57</v>
      </c>
      <c r="D4" s="11">
        <f>'Commentary'!$D$4</f>
        <v>1619957.02</v>
      </c>
      <c r="E4" s="9" t="s">
        <v>52</v>
      </c>
      <c r="F4" s="13" t="s">
        <v>59</v>
      </c>
      <c r="G4" s="9" t="s">
        <v>125</v>
      </c>
      <c r="H4" s="9" t="s">
        <v>60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M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2" width="18.7109375" customWidth="1"/>
    <col min="3" max="5" width="16.7109375" customWidth="1"/>
    <col min="6" max="6" width="11.7109375" customWidth="1"/>
    <col min="7" max="7" width="14.7109375" customWidth="1"/>
    <col min="8" max="8" width="24.7109375" customWidth="1"/>
    <col min="9" max="9" width="70.7109375" customWidth="1"/>
    <col min="10" max="10" width="12.7109375" customWidth="1"/>
    <col min="11" max="11" width="18.7109375" customWidth="1"/>
    <col min="12" max="12" width="17.7109375" customWidth="1"/>
    <col min="13" max="13" width="50.7109375" customWidth="1"/>
  </cols>
  <sheetData>
    <row r="1" spans="1:13">
      <c r="A1" s="10" t="s">
        <v>40</v>
      </c>
      <c r="B1" s="10" t="s">
        <v>32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</row>
    <row r="2" spans="1:13">
      <c r="A2" s="9" t="s">
        <v>39</v>
      </c>
      <c r="B2" s="9" t="s">
        <v>39</v>
      </c>
      <c r="C2" s="11">
        <f>SUMPRODUCT((Data!$A$2:$A$31=$B2)*(ISNUMBER(MATCH(Data!$B$2:$B$31,BaseMonths,0)))*Data!$C$2:$C$31)</f>
        <v>2850000.0</v>
      </c>
      <c r="D2" s="11">
        <f>SUMPRODUCT((Data!$A$2:$A$31=$B2)*(ISNUMBER(MATCH(Data!$B$2:$B$31,CurrentMonths,0)))*Data!$C$2:$C$31)</f>
        <v>3840000.0</v>
      </c>
      <c r="E2" s="11">
        <f>D2-C2</f>
        <v>990000.0</v>
      </c>
      <c r="F2" s="12">
        <f>IF(C2=0,"",E2/ABS(C2))</f>
        <v>0.3473684210526316</v>
      </c>
      <c r="G2" s="9" t="str">
        <f>IF(ABS(E2)&gt;=Threshold,"Yes","No")</f>
        <v>Yes</v>
      </c>
      <c r="H2" s="9" t="s">
        <v>52</v>
      </c>
      <c r="I2" s="13" t="s">
        <v>53</v>
      </c>
      <c r="J2" s="9" t="s">
        <v>54</v>
      </c>
      <c r="K2" s="9" t="s">
        <v>55</v>
      </c>
      <c r="L2" s="15"/>
      <c r="M2" s="9" t="s">
        <v>56</v>
      </c>
    </row>
    <row r="3" spans="1:13">
      <c r="A3" s="9" t="s">
        <v>36</v>
      </c>
      <c r="B3" s="9" t="s">
        <v>36</v>
      </c>
      <c r="C3" s="11">
        <f>SUMPRODUCT((Data!$A$2:$A$31=$B3)*(ISNUMBER(MATCH(Data!$B$2:$B$31,BaseMonths,0)))*Data!$C$2:$C$31)</f>
        <v>1860000.0</v>
      </c>
      <c r="D3" s="11">
        <f>SUMPRODUCT((Data!$A$2:$A$31=$B3)*(ISNUMBER(MATCH(Data!$B$2:$B$31,CurrentMonths,0)))*Data!$C$2:$C$31)</f>
        <v>2730000.0</v>
      </c>
      <c r="E3" s="11">
        <f>D3-C3</f>
        <v>870000.0</v>
      </c>
      <c r="F3" s="12">
        <f>IF(C3=0,"",E3/ABS(C3))</f>
        <v>0.46774193548387094</v>
      </c>
      <c r="G3" s="9" t="str">
        <f>IF(ABS(E3)&gt;=Threshold,"Yes","No")</f>
        <v>Yes</v>
      </c>
      <c r="H3" s="9" t="s">
        <v>52</v>
      </c>
      <c r="I3" s="13" t="s">
        <v>57</v>
      </c>
      <c r="J3" s="9" t="s">
        <v>54</v>
      </c>
      <c r="K3" s="9" t="s">
        <v>55</v>
      </c>
      <c r="L3" s="15"/>
      <c r="M3" s="9" t="s">
        <v>58</v>
      </c>
    </row>
    <row r="4" spans="1:13">
      <c r="A4" s="9" t="s">
        <v>37</v>
      </c>
      <c r="B4" s="9" t="s">
        <v>37</v>
      </c>
      <c r="C4" s="11">
        <f>SUMPRODUCT((Data!$A$2:$A$31=$B4)*(ISNUMBER(MATCH(Data!$B$2:$B$31,BaseMonths,0)))*Data!$C$2:$C$31)</f>
        <v>2220021.57</v>
      </c>
      <c r="D4" s="11">
        <f>SUMPRODUCT((Data!$A$2:$A$31=$B4)*(ISNUMBER(MATCH(Data!$B$2:$B$31,CurrentMonths,0)))*Data!$C$2:$C$31)</f>
        <v>1619957.02</v>
      </c>
      <c r="E4" s="11">
        <f>D4-C4</f>
        <v>-600064.55</v>
      </c>
      <c r="F4" s="12">
        <f>IF(C4=0,"",E4/ABS(C4))</f>
        <v>-0.27029672058546717</v>
      </c>
      <c r="G4" s="9" t="str">
        <f>IF(ABS(E4)&gt;=Threshold,"Yes","No")</f>
        <v>Yes</v>
      </c>
      <c r="H4" s="9" t="s">
        <v>52</v>
      </c>
      <c r="I4" s="13" t="s">
        <v>59</v>
      </c>
      <c r="J4" s="9" t="s">
        <v>54</v>
      </c>
      <c r="K4" s="9" t="s">
        <v>55</v>
      </c>
      <c r="L4" s="15"/>
      <c r="M4" s="9" t="s">
        <v>60</v>
      </c>
    </row>
    <row r="5" spans="1:13">
      <c r="A5" s="9" t="s">
        <v>22</v>
      </c>
      <c r="B5" s="9" t="s">
        <v>55</v>
      </c>
      <c r="C5" s="11">
        <f>TotalBase-SUM(C2:C4)</f>
        <v>2550000.0</v>
      </c>
      <c r="D5" s="11">
        <f>TotalCurrent-SUM(D2:D4)</f>
        <v>2790000.0</v>
      </c>
      <c r="E5" s="11">
        <f>D5-C5</f>
        <v>240000.0</v>
      </c>
      <c r="F5" s="12">
        <f>IF(C5=0,"",E5/ABS(C5))</f>
        <v>0.09411764705882353</v>
      </c>
      <c r="G5" s="9" t="s">
        <v>61</v>
      </c>
      <c r="H5" s="9" t="s">
        <v>62</v>
      </c>
      <c r="I5" s="13" t="s">
        <v>63</v>
      </c>
      <c r="J5" s="9" t="s">
        <v>54</v>
      </c>
      <c r="K5" s="9" t="s">
        <v>55</v>
      </c>
      <c r="L5" s="15"/>
      <c r="M5" s="9" t="s">
        <v>64</v>
      </c>
    </row>
  </sheetData>
  <autoFilter ref="A1:M5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16.7109375" customWidth="1"/>
    <col min="5" max="5" width="11.7109375" customWidth="1"/>
    <col min="6" max="6" width="14.7109375" customWidth="1"/>
    <col min="7" max="7" width="30.7109375" customWidth="1"/>
  </cols>
  <sheetData>
    <row r="1" spans="1:7">
      <c r="A1" s="10" t="s">
        <v>32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126</v>
      </c>
    </row>
    <row r="2" spans="1:7">
      <c r="A2" s="9" t="s">
        <v>39</v>
      </c>
      <c r="B2" s="11">
        <f>SUMPRODUCT((Data!$A$2:$A$31=$A2)*(ISNUMBER(MATCH(Data!$B$2:$B$31,BaseMonths,0)))*Data!$C$2:$C$31)</f>
        <v>2850000.0</v>
      </c>
      <c r="C2" s="11">
        <f>SUMPRODUCT((Data!$A$2:$A$31=$A2)*(ISNUMBER(MATCH(Data!$B$2:$B$31,CurrentMonths,0)))*Data!$C$2:$C$31)</f>
        <v>3840000.0</v>
      </c>
      <c r="D2" s="11">
        <f>C2-B2</f>
        <v>990000.0</v>
      </c>
      <c r="E2" s="12">
        <f>IF(B2=0,"",D2/ABS(B2))</f>
        <v>0.3473684210526316</v>
      </c>
      <c r="F2" s="9" t="str">
        <f>IF(ABS(D2)&gt;=Threshold,"Yes","No")</f>
        <v>Yes</v>
      </c>
      <c r="G2" s="9" t="s">
        <v>39</v>
      </c>
    </row>
    <row r="3" spans="1:7">
      <c r="A3" s="9" t="s">
        <v>36</v>
      </c>
      <c r="B3" s="11">
        <f>SUMPRODUCT((Data!$A$2:$A$31=$A3)*(ISNUMBER(MATCH(Data!$B$2:$B$31,BaseMonths,0)))*Data!$C$2:$C$31)</f>
        <v>1860000.0</v>
      </c>
      <c r="C3" s="11">
        <f>SUMPRODUCT((Data!$A$2:$A$31=$A3)*(ISNUMBER(MATCH(Data!$B$2:$B$31,CurrentMonths,0)))*Data!$C$2:$C$31)</f>
        <v>2730000.0</v>
      </c>
      <c r="D3" s="11">
        <f>C3-B3</f>
        <v>870000.0</v>
      </c>
      <c r="E3" s="12">
        <f>IF(B3=0,"",D3/ABS(B3))</f>
        <v>0.46774193548387094</v>
      </c>
      <c r="F3" s="9" t="str">
        <f>IF(ABS(D3)&gt;=Threshold,"Yes","No")</f>
        <v>Yes</v>
      </c>
      <c r="G3" s="9" t="s">
        <v>36</v>
      </c>
    </row>
    <row r="4" spans="1:7">
      <c r="A4" s="9" t="s">
        <v>37</v>
      </c>
      <c r="B4" s="11">
        <f>SUMPRODUCT((Data!$A$2:$A$31=$A4)*(ISNUMBER(MATCH(Data!$B$2:$B$31,BaseMonths,0)))*Data!$C$2:$C$31)</f>
        <v>2220021.57</v>
      </c>
      <c r="C4" s="11">
        <f>SUMPRODUCT((Data!$A$2:$A$31=$A4)*(ISNUMBER(MATCH(Data!$B$2:$B$31,CurrentMonths,0)))*Data!$C$2:$C$31)</f>
        <v>1619957.02</v>
      </c>
      <c r="D4" s="11">
        <f>C4-B4</f>
        <v>-600064.55</v>
      </c>
      <c r="E4" s="12">
        <f>IF(B4=0,"",D4/ABS(B4))</f>
        <v>-0.27029672058546717</v>
      </c>
      <c r="F4" s="9" t="str">
        <f>IF(ABS(D4)&gt;=Threshold,"Yes","No")</f>
        <v>Yes</v>
      </c>
      <c r="G4" s="9" t="s">
        <v>37</v>
      </c>
    </row>
    <row r="5" spans="1:7">
      <c r="A5" s="9" t="s">
        <v>38</v>
      </c>
      <c r="B5" s="11">
        <f>SUMPRODUCT((Data!$A$2:$A$31=$A5)*(ISNUMBER(MATCH(Data!$B$2:$B$31,BaseMonths,0)))*Data!$C$2:$C$31)</f>
        <v>1080000.0</v>
      </c>
      <c r="C5" s="11">
        <f>SUMPRODUCT((Data!$A$2:$A$31=$A5)*(ISNUMBER(MATCH(Data!$B$2:$B$31,CurrentMonths,0)))*Data!$C$2:$C$31)</f>
        <v>1230000.0</v>
      </c>
      <c r="D5" s="11">
        <f>C5-B5</f>
        <v>150000.0</v>
      </c>
      <c r="E5" s="12">
        <f>IF(B5=0,"",D5/ABS(B5))</f>
        <v>0.1388888888888889</v>
      </c>
      <c r="F5" s="9" t="str">
        <f>IF(ABS(D5)&gt;=Threshold,"Yes","No")</f>
        <v>No</v>
      </c>
      <c r="G5" s="9" t="s">
        <v>22</v>
      </c>
    </row>
    <row r="6" spans="1:7">
      <c r="A6" s="9" t="s">
        <v>35</v>
      </c>
      <c r="B6" s="11">
        <f>SUMPRODUCT((Data!$A$2:$A$31=$A6)*(ISNUMBER(MATCH(Data!$B$2:$B$31,BaseMonths,0)))*Data!$C$2:$C$31)</f>
        <v>1470000.0</v>
      </c>
      <c r="C6" s="11">
        <f>SUMPRODUCT((Data!$A$2:$A$31=$A6)*(ISNUMBER(MATCH(Data!$B$2:$B$31,CurrentMonths,0)))*Data!$C$2:$C$31)</f>
        <v>1560000.0</v>
      </c>
      <c r="D6" s="11">
        <f>C6-B6</f>
        <v>90000.0</v>
      </c>
      <c r="E6" s="12">
        <f>IF(B6=0,"",D6/ABS(B6))</f>
        <v>0.061224489795918366</v>
      </c>
      <c r="F6" s="9" t="str">
        <f>IF(ABS(D6)&gt;=Threshold,"Yes","No")</f>
        <v>No</v>
      </c>
      <c r="G6" s="9" t="s">
        <v>22</v>
      </c>
    </row>
  </sheetData>
  <autoFilter ref="A1:G6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0" t="s">
        <v>127</v>
      </c>
      <c r="B1" s="10" t="s">
        <v>128</v>
      </c>
      <c r="C1" s="10" t="s">
        <v>129</v>
      </c>
      <c r="D1" s="10" t="s">
        <v>130</v>
      </c>
      <c r="E1" s="10" t="s">
        <v>131</v>
      </c>
    </row>
    <row r="2" spans="1:5">
      <c r="A2" s="9" t="s">
        <v>66</v>
      </c>
      <c r="B2" s="11">
        <v>9480021.57</v>
      </c>
      <c r="C2" s="11">
        <f>TotalBase</f>
        <v>9480021.57</v>
      </c>
      <c r="D2" s="11">
        <f>C2-B2</f>
        <v>0.0</v>
      </c>
      <c r="E2" s="16" t="str">
        <f>IF(ABS(D2)&lt;0.005,"OK","Check")</f>
        <v>OK</v>
      </c>
    </row>
    <row r="3" spans="1:5">
      <c r="A3" s="9" t="s">
        <v>67</v>
      </c>
      <c r="B3" s="11">
        <v>10979957.02</v>
      </c>
      <c r="C3" s="11">
        <f>TotalCurrent</f>
        <v>10979957.02</v>
      </c>
      <c r="D3" s="11">
        <f>C3-B3</f>
        <v>0.0</v>
      </c>
      <c r="E3" s="16" t="str">
        <f>IF(ABS(D3)&lt;0.005,"OK","Check")</f>
        <v>OK</v>
      </c>
    </row>
    <row r="4" spans="1:5">
      <c r="A4" s="9" t="s">
        <v>132</v>
      </c>
      <c r="B4" s="11">
        <v>1499935.45</v>
      </c>
      <c r="C4" s="11">
        <f>SUM(Commentary!$E$2:$E$5)</f>
        <v>1499935.45</v>
      </c>
      <c r="D4" s="11">
        <f>C4-B4</f>
        <v>0.0</v>
      </c>
      <c r="E4" s="16" t="str">
        <f>IF(ABS(D4)&lt;0.005,"OK","Check")</f>
        <v>OK</v>
      </c>
    </row>
    <row r="5" spans="1:5">
      <c r="A5" s="9" t="s">
        <v>133</v>
      </c>
      <c r="B5" s="11">
        <v>1499935.45</v>
      </c>
      <c r="C5" s="11">
        <f>SUM('Drill-down'!$D$2:$D$6)</f>
        <v>1499935.45</v>
      </c>
      <c r="D5" s="11">
        <f>C5-B5</f>
        <v>0.0</v>
      </c>
      <c r="E5" s="16" t="str">
        <f>IF(ABS(D5)&lt;0.005,"OK","Check")</f>
        <v>OK</v>
      </c>
    </row>
    <row r="7" spans="1:5">
      <c r="A7" s="14" t="s">
        <v>134</v>
      </c>
    </row>
    <row r="8" spans="1:5">
      <c r="A8" s="9" t="s">
        <v>135</v>
      </c>
      <c r="B8" s="9" t="s">
        <v>136</v>
      </c>
      <c r="C8" s="9" t="s">
        <v>137</v>
      </c>
    </row>
    <row r="9" spans="1:5">
      <c r="A9" s="9" t="s">
        <v>138</v>
      </c>
      <c r="B9" s="9" t="s">
        <v>136</v>
      </c>
      <c r="C9" s="9" t="s">
        <v>139</v>
      </c>
    </row>
    <row r="10" spans="1:5">
      <c r="A10" s="9" t="s">
        <v>140</v>
      </c>
      <c r="B10" s="9" t="s">
        <v>136</v>
      </c>
      <c r="C10" s="9" t="s">
        <v>141</v>
      </c>
    </row>
    <row r="11" spans="1:5">
      <c r="A11" s="9" t="s">
        <v>142</v>
      </c>
      <c r="B11" s="9" t="s">
        <v>136</v>
      </c>
      <c r="C11" s="9" t="s">
        <v>143</v>
      </c>
    </row>
    <row r="12" spans="1:5">
      <c r="A12" s="9" t="s">
        <v>144</v>
      </c>
      <c r="B12" s="9" t="s">
        <v>136</v>
      </c>
      <c r="C12" s="9" t="s">
        <v>145</v>
      </c>
    </row>
    <row r="13" spans="1:5">
      <c r="A13" s="9" t="s">
        <v>146</v>
      </c>
      <c r="B13" s="9" t="s">
        <v>136</v>
      </c>
      <c r="C13" s="9" t="s">
        <v>147</v>
      </c>
    </row>
    <row r="14" spans="1:5">
      <c r="A14" s="9" t="s">
        <v>148</v>
      </c>
      <c r="B14" s="9" t="s">
        <v>136</v>
      </c>
      <c r="C14" s="9" t="s">
        <v>149</v>
      </c>
    </row>
    <row r="15" spans="1:5">
      <c r="A15" s="9" t="s">
        <v>150</v>
      </c>
      <c r="B15" s="9" t="s">
        <v>136</v>
      </c>
      <c r="C15" s="9" t="s">
        <v>151</v>
      </c>
    </row>
    <row r="16" spans="1:5">
      <c r="A16" s="9" t="s">
        <v>152</v>
      </c>
      <c r="B16" s="9" t="s">
        <v>136</v>
      </c>
      <c r="C16" s="9" t="s">
        <v>153</v>
      </c>
    </row>
    <row r="17" spans="1:3">
      <c r="A17" s="9" t="s">
        <v>154</v>
      </c>
      <c r="B17" s="9" t="s">
        <v>136</v>
      </c>
      <c r="C17" s="9" t="s">
        <v>155</v>
      </c>
    </row>
    <row r="18" spans="1:3">
      <c r="A18" s="9" t="s">
        <v>156</v>
      </c>
      <c r="B18" s="9" t="s">
        <v>136</v>
      </c>
      <c r="C18" s="9" t="s">
        <v>157</v>
      </c>
    </row>
    <row r="20" spans="1:3">
      <c r="A20" s="17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C3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6.7109375" customWidth="1"/>
  </cols>
  <sheetData>
    <row r="1" spans="1:3">
      <c r="A1" s="10" t="s">
        <v>32</v>
      </c>
      <c r="B1" s="10" t="s">
        <v>33</v>
      </c>
      <c r="C1" s="10" t="s">
        <v>34</v>
      </c>
    </row>
    <row r="2" spans="1:3">
      <c r="A2" s="9" t="s">
        <v>35</v>
      </c>
      <c r="B2" s="9" t="s">
        <v>9</v>
      </c>
      <c r="C2" s="11">
        <v>487900</v>
      </c>
    </row>
    <row r="3" spans="1:3">
      <c r="A3" s="9" t="s">
        <v>35</v>
      </c>
      <c r="B3" s="9" t="s">
        <v>10</v>
      </c>
      <c r="C3" s="11">
        <v>490000</v>
      </c>
    </row>
    <row r="4" spans="1:3">
      <c r="A4" s="9" t="s">
        <v>35</v>
      </c>
      <c r="B4" s="9" t="s">
        <v>11</v>
      </c>
      <c r="C4" s="11">
        <v>492100</v>
      </c>
    </row>
    <row r="5" spans="1:3">
      <c r="A5" s="9" t="s">
        <v>35</v>
      </c>
      <c r="B5" s="9" t="s">
        <v>13</v>
      </c>
      <c r="C5" s="11">
        <v>517900</v>
      </c>
    </row>
    <row r="6" spans="1:3">
      <c r="A6" s="9" t="s">
        <v>35</v>
      </c>
      <c r="B6" s="9" t="s">
        <v>14</v>
      </c>
      <c r="C6" s="11">
        <v>520000</v>
      </c>
    </row>
    <row r="7" spans="1:3">
      <c r="A7" s="9" t="s">
        <v>35</v>
      </c>
      <c r="B7" s="9" t="s">
        <v>15</v>
      </c>
      <c r="C7" s="11">
        <v>522100</v>
      </c>
    </row>
    <row r="8" spans="1:3">
      <c r="A8" s="9" t="s">
        <v>36</v>
      </c>
      <c r="B8" s="9" t="s">
        <v>9</v>
      </c>
      <c r="C8" s="11">
        <v>617900</v>
      </c>
    </row>
    <row r="9" spans="1:3">
      <c r="A9" s="9" t="s">
        <v>36</v>
      </c>
      <c r="B9" s="9" t="s">
        <v>10</v>
      </c>
      <c r="C9" s="11">
        <v>620000</v>
      </c>
    </row>
    <row r="10" spans="1:3">
      <c r="A10" s="9" t="s">
        <v>36</v>
      </c>
      <c r="B10" s="9" t="s">
        <v>11</v>
      </c>
      <c r="C10" s="11">
        <v>622100</v>
      </c>
    </row>
    <row r="11" spans="1:3">
      <c r="A11" s="9" t="s">
        <v>36</v>
      </c>
      <c r="B11" s="9" t="s">
        <v>13</v>
      </c>
      <c r="C11" s="11">
        <v>907900</v>
      </c>
    </row>
    <row r="12" spans="1:3">
      <c r="A12" s="9" t="s">
        <v>36</v>
      </c>
      <c r="B12" s="9" t="s">
        <v>14</v>
      </c>
      <c r="C12" s="11">
        <v>910000</v>
      </c>
    </row>
    <row r="13" spans="1:3">
      <c r="A13" s="9" t="s">
        <v>36</v>
      </c>
      <c r="B13" s="9" t="s">
        <v>15</v>
      </c>
      <c r="C13" s="11">
        <v>912100</v>
      </c>
    </row>
    <row r="14" spans="1:3">
      <c r="A14" s="9" t="s">
        <v>37</v>
      </c>
      <c r="B14" s="9" t="s">
        <v>9</v>
      </c>
      <c r="C14" s="11">
        <v>737921.5699999999</v>
      </c>
    </row>
    <row r="15" spans="1:3">
      <c r="A15" s="9" t="s">
        <v>37</v>
      </c>
      <c r="B15" s="9" t="s">
        <v>10</v>
      </c>
      <c r="C15" s="11">
        <v>740000</v>
      </c>
    </row>
    <row r="16" spans="1:3">
      <c r="A16" s="9" t="s">
        <v>37</v>
      </c>
      <c r="B16" s="9" t="s">
        <v>11</v>
      </c>
      <c r="C16" s="11">
        <v>742100</v>
      </c>
    </row>
    <row r="17" spans="1:3">
      <c r="A17" s="9" t="s">
        <v>37</v>
      </c>
      <c r="B17" s="9" t="s">
        <v>13</v>
      </c>
      <c r="C17" s="11">
        <v>537857.02</v>
      </c>
    </row>
    <row r="18" spans="1:3">
      <c r="A18" s="9" t="s">
        <v>37</v>
      </c>
      <c r="B18" s="9" t="s">
        <v>14</v>
      </c>
      <c r="C18" s="11">
        <v>540000</v>
      </c>
    </row>
    <row r="19" spans="1:3">
      <c r="A19" s="9" t="s">
        <v>37</v>
      </c>
      <c r="B19" s="9" t="s">
        <v>15</v>
      </c>
      <c r="C19" s="11">
        <v>542100</v>
      </c>
    </row>
    <row r="20" spans="1:3">
      <c r="A20" s="9" t="s">
        <v>38</v>
      </c>
      <c r="B20" s="9" t="s">
        <v>9</v>
      </c>
      <c r="C20" s="11">
        <v>357900</v>
      </c>
    </row>
    <row r="21" spans="1:3">
      <c r="A21" s="9" t="s">
        <v>38</v>
      </c>
      <c r="B21" s="9" t="s">
        <v>10</v>
      </c>
      <c r="C21" s="11">
        <v>360000</v>
      </c>
    </row>
    <row r="22" spans="1:3">
      <c r="A22" s="9" t="s">
        <v>38</v>
      </c>
      <c r="B22" s="9" t="s">
        <v>11</v>
      </c>
      <c r="C22" s="11">
        <v>362100</v>
      </c>
    </row>
    <row r="23" spans="1:3">
      <c r="A23" s="9" t="s">
        <v>38</v>
      </c>
      <c r="B23" s="9" t="s">
        <v>13</v>
      </c>
      <c r="C23" s="11">
        <v>407900</v>
      </c>
    </row>
    <row r="24" spans="1:3">
      <c r="A24" s="9" t="s">
        <v>38</v>
      </c>
      <c r="B24" s="9" t="s">
        <v>14</v>
      </c>
      <c r="C24" s="11">
        <v>410000</v>
      </c>
    </row>
    <row r="25" spans="1:3">
      <c r="A25" s="9" t="s">
        <v>38</v>
      </c>
      <c r="B25" s="9" t="s">
        <v>15</v>
      </c>
      <c r="C25" s="11">
        <v>412100</v>
      </c>
    </row>
    <row r="26" spans="1:3">
      <c r="A26" s="9" t="s">
        <v>39</v>
      </c>
      <c r="B26" s="9" t="s">
        <v>9</v>
      </c>
      <c r="C26" s="11">
        <v>947900</v>
      </c>
    </row>
    <row r="27" spans="1:3">
      <c r="A27" s="9" t="s">
        <v>39</v>
      </c>
      <c r="B27" s="9" t="s">
        <v>10</v>
      </c>
      <c r="C27" s="11">
        <v>950000</v>
      </c>
    </row>
    <row r="28" spans="1:3">
      <c r="A28" s="9" t="s">
        <v>39</v>
      </c>
      <c r="B28" s="9" t="s">
        <v>11</v>
      </c>
      <c r="C28" s="11">
        <v>952100</v>
      </c>
    </row>
    <row r="29" spans="1:3">
      <c r="A29" s="9" t="s">
        <v>39</v>
      </c>
      <c r="B29" s="9" t="s">
        <v>13</v>
      </c>
      <c r="C29" s="11">
        <v>1277900</v>
      </c>
    </row>
    <row r="30" spans="1:3">
      <c r="A30" s="9" t="s">
        <v>39</v>
      </c>
      <c r="B30" s="9" t="s">
        <v>14</v>
      </c>
      <c r="C30" s="11">
        <v>1280000</v>
      </c>
    </row>
    <row r="31" spans="1:3">
      <c r="A31" s="9" t="s">
        <v>39</v>
      </c>
      <c r="B31" s="9" t="s">
        <v>15</v>
      </c>
      <c r="C31" s="11">
        <v>1282100</v>
      </c>
    </row>
  </sheetData>
  <autoFilter ref="A1:C3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23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4" t="s">
        <v>1</v>
      </c>
      <c r="B3" s="9" t="s">
        <v>2</v>
      </c>
    </row>
    <row r="4" spans="1:2">
      <c r="A4" s="14" t="s">
        <v>3</v>
      </c>
      <c r="B4" s="9" t="s">
        <v>4</v>
      </c>
    </row>
    <row r="5" spans="1:2">
      <c r="A5" s="14" t="s">
        <v>5</v>
      </c>
      <c r="B5" s="15">
        <v>46324.39124326788</v>
      </c>
    </row>
    <row r="6" spans="1:2">
      <c r="A6" s="14" t="s">
        <v>6</v>
      </c>
      <c r="B6" s="9" t="s">
        <v>7</v>
      </c>
    </row>
    <row r="7" spans="1:2">
      <c r="A7" s="14" t="s">
        <v>8</v>
      </c>
      <c r="B7" t="s">
        <v>9</v>
      </c>
    </row>
    <row r="8" spans="1:2">
      <c r="B8" t="s">
        <v>10</v>
      </c>
    </row>
    <row r="9" spans="1:2">
      <c r="B9" t="s">
        <v>11</v>
      </c>
    </row>
    <row r="10" spans="1:2">
      <c r="A10" s="14" t="s">
        <v>12</v>
      </c>
      <c r="B10" t="s">
        <v>13</v>
      </c>
    </row>
    <row r="11" spans="1:2">
      <c r="B11" t="s">
        <v>14</v>
      </c>
    </row>
    <row r="12" spans="1:2">
      <c r="B12" t="s">
        <v>15</v>
      </c>
    </row>
    <row r="13" spans="1:2">
      <c r="A13" s="14" t="s">
        <v>16</v>
      </c>
      <c r="B13" t="s">
        <v>17</v>
      </c>
    </row>
    <row r="14" spans="1:2">
      <c r="A14" s="14" t="s">
        <v>18</v>
      </c>
      <c r="B14" t="s">
        <v>17</v>
      </c>
    </row>
    <row r="15" spans="1:2">
      <c r="A15" s="14" t="s">
        <v>19</v>
      </c>
      <c r="B15" s="11">
        <v>300000</v>
      </c>
    </row>
    <row r="16" spans="1:2">
      <c r="A16" s="14" t="s">
        <v>20</v>
      </c>
      <c r="B16" s="18">
        <v>15</v>
      </c>
    </row>
    <row r="17" spans="1:2">
      <c r="A17" s="14" t="s">
        <v>21</v>
      </c>
      <c r="B17" s="9" t="s">
        <v>22</v>
      </c>
    </row>
    <row r="18" spans="1:2">
      <c r="A18" s="14" t="s">
        <v>23</v>
      </c>
      <c r="B18" s="9" t="s">
        <v>24</v>
      </c>
    </row>
    <row r="19" spans="1:2">
      <c r="A19" s="14" t="s">
        <v>25</v>
      </c>
      <c r="B19" s="9" t="s">
        <v>26</v>
      </c>
    </row>
    <row r="20" spans="1:2">
      <c r="A20" s="14" t="s">
        <v>27</v>
      </c>
      <c r="B20" s="9" t="s">
        <v>28</v>
      </c>
    </row>
    <row r="21" spans="1:2">
      <c r="A21" s="14" t="s">
        <v>29</v>
      </c>
      <c r="B21" s="9" t="s">
        <v>30</v>
      </c>
    </row>
    <row r="23" spans="1:2">
      <c r="A23" s="17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6.7109375" customWidth="1"/>
    <col min="5" max="5" width="12.7109375" customWidth="1"/>
  </cols>
  <sheetData>
    <row r="1" spans="1:5">
      <c r="A1" s="10" t="s">
        <v>32</v>
      </c>
      <c r="B1" s="10" t="s">
        <v>41</v>
      </c>
      <c r="C1" s="10" t="s">
        <v>42</v>
      </c>
      <c r="D1" s="10" t="s">
        <v>43</v>
      </c>
      <c r="E1" s="10" t="s">
        <v>44</v>
      </c>
    </row>
    <row r="2" spans="1:5">
      <c r="A2" s="9" t="s">
        <v>39</v>
      </c>
      <c r="B2" s="11">
        <v>2850000</v>
      </c>
      <c r="C2" s="11">
        <v>3840000</v>
      </c>
      <c r="D2" s="11">
        <v>990000</v>
      </c>
      <c r="E2" s="12">
        <v>0.3473684210526315</v>
      </c>
    </row>
    <row r="3" spans="1:5">
      <c r="A3" s="9" t="s">
        <v>37</v>
      </c>
      <c r="B3" s="11">
        <v>2220021.57</v>
      </c>
      <c r="C3" s="11">
        <v>1619957.02</v>
      </c>
      <c r="D3" s="11">
        <v>-600064.55</v>
      </c>
      <c r="E3" s="12">
        <v>-0.2702967205854671</v>
      </c>
    </row>
    <row r="4" spans="1:5">
      <c r="A4" s="9" t="s">
        <v>36</v>
      </c>
      <c r="B4" s="11">
        <v>1860000</v>
      </c>
      <c r="C4" s="11">
        <v>2730000</v>
      </c>
      <c r="D4" s="11">
        <v>870000</v>
      </c>
      <c r="E4" s="12">
        <v>0.4677419354838709</v>
      </c>
    </row>
    <row r="5" spans="1:5">
      <c r="A5" s="9" t="s">
        <v>35</v>
      </c>
      <c r="B5" s="11">
        <v>1470000</v>
      </c>
      <c r="C5" s="11">
        <v>1560000</v>
      </c>
      <c r="D5" s="11">
        <v>90000</v>
      </c>
      <c r="E5" s="12">
        <v>0.06122448979591837</v>
      </c>
    </row>
    <row r="6" spans="1:5">
      <c r="A6" s="9" t="s">
        <v>38</v>
      </c>
      <c r="B6" s="11">
        <v>1080000</v>
      </c>
      <c r="C6" s="11">
        <v>1230000</v>
      </c>
      <c r="D6" s="11">
        <v>150000</v>
      </c>
      <c r="E6" s="12">
        <v>0.1388888888888889</v>
      </c>
    </row>
  </sheetData>
  <autoFilter ref="A1:E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K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  <col min="6" max="7" width="12.7109375" customWidth="1"/>
    <col min="8" max="8" width="14.7109375" customWidth="1"/>
    <col min="9" max="9" width="70.7109375" customWidth="1"/>
    <col min="10" max="10" width="21.7109375" customWidth="1"/>
    <col min="11" max="11" width="14.7109375" customWidth="1"/>
  </cols>
  <sheetData>
    <row r="1" spans="1:11">
      <c r="A1" s="10" t="s">
        <v>40</v>
      </c>
      <c r="B1" s="10" t="s">
        <v>32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159</v>
      </c>
      <c r="H1" s="10" t="s">
        <v>160</v>
      </c>
      <c r="I1" s="10" t="s">
        <v>161</v>
      </c>
      <c r="J1" s="10" t="s">
        <v>162</v>
      </c>
      <c r="K1" s="10" t="s">
        <v>163</v>
      </c>
    </row>
    <row r="2" spans="1:11">
      <c r="A2" s="9" t="s">
        <v>39</v>
      </c>
      <c r="B2" s="9" t="s">
        <v>39</v>
      </c>
      <c r="C2" s="11">
        <v>2850000</v>
      </c>
      <c r="D2" s="11">
        <v>3840000</v>
      </c>
      <c r="E2" s="11">
        <v>990000</v>
      </c>
      <c r="F2" s="12">
        <v>0.3473684210526315</v>
      </c>
      <c r="G2" s="18">
        <v>6</v>
      </c>
      <c r="H2" s="9" t="s">
        <v>55</v>
      </c>
      <c r="I2" s="9" t="s">
        <v>56</v>
      </c>
      <c r="J2" s="9" t="s">
        <v>164</v>
      </c>
      <c r="K2" s="9" t="s">
        <v>165</v>
      </c>
    </row>
    <row r="3" spans="1:11">
      <c r="A3" s="9" t="s">
        <v>36</v>
      </c>
      <c r="B3" s="9" t="s">
        <v>36</v>
      </c>
      <c r="C3" s="11">
        <v>1860000</v>
      </c>
      <c r="D3" s="11">
        <v>2730000</v>
      </c>
      <c r="E3" s="11">
        <v>870000</v>
      </c>
      <c r="F3" s="12">
        <v>0.4677419354838709</v>
      </c>
      <c r="G3" s="18">
        <v>6</v>
      </c>
      <c r="H3" s="9" t="s">
        <v>55</v>
      </c>
      <c r="I3" s="9" t="s">
        <v>58</v>
      </c>
      <c r="J3" s="9" t="s">
        <v>166</v>
      </c>
      <c r="K3" s="9" t="s">
        <v>167</v>
      </c>
    </row>
    <row r="4" spans="1:11">
      <c r="A4" s="9" t="s">
        <v>37</v>
      </c>
      <c r="B4" s="9" t="s">
        <v>37</v>
      </c>
      <c r="C4" s="11">
        <v>2220021.57</v>
      </c>
      <c r="D4" s="11">
        <v>1619957.02</v>
      </c>
      <c r="E4" s="11">
        <v>-600064.55</v>
      </c>
      <c r="F4" s="12">
        <v>-0.2702967205854672</v>
      </c>
      <c r="G4" s="18">
        <v>10</v>
      </c>
      <c r="H4" s="9" t="s">
        <v>55</v>
      </c>
      <c r="I4" s="9" t="s">
        <v>60</v>
      </c>
      <c r="J4" s="9" t="s">
        <v>168</v>
      </c>
      <c r="K4" s="9" t="s">
        <v>169</v>
      </c>
    </row>
    <row r="5" spans="1:11">
      <c r="A5" s="9" t="s">
        <v>22</v>
      </c>
      <c r="B5" s="9"/>
      <c r="C5" s="11">
        <v>2550000</v>
      </c>
      <c r="D5" s="11">
        <v>2790000</v>
      </c>
      <c r="E5" s="11">
        <v>240000</v>
      </c>
      <c r="F5" s="12">
        <v>0.09411764705882353</v>
      </c>
      <c r="G5" s="18">
        <v>12</v>
      </c>
      <c r="H5" s="9" t="s">
        <v>55</v>
      </c>
      <c r="I5" s="9" t="s">
        <v>64</v>
      </c>
      <c r="J5" s="9" t="s">
        <v>170</v>
      </c>
      <c r="K5" s="9" t="s">
        <v>171</v>
      </c>
    </row>
  </sheetData>
  <autoFilter ref="A1:K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70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0" t="s">
        <v>40</v>
      </c>
      <c r="B1" s="10" t="s">
        <v>172</v>
      </c>
      <c r="C1" s="10" t="s">
        <v>41</v>
      </c>
      <c r="D1" s="10" t="s">
        <v>42</v>
      </c>
      <c r="E1" s="10" t="s">
        <v>43</v>
      </c>
      <c r="F1" s="10" t="s">
        <v>159</v>
      </c>
      <c r="G1" s="10" t="s">
        <v>163</v>
      </c>
    </row>
    <row r="2" spans="1:7">
      <c r="A2" s="9" t="s">
        <v>39</v>
      </c>
      <c r="B2" s="9" t="s">
        <v>173</v>
      </c>
      <c r="C2" s="11">
        <v>2850000</v>
      </c>
      <c r="D2" s="11">
        <v>3840000</v>
      </c>
      <c r="E2" s="11">
        <v>990000</v>
      </c>
      <c r="F2" s="18">
        <v>6</v>
      </c>
      <c r="G2" s="9" t="s">
        <v>165</v>
      </c>
    </row>
    <row r="3" spans="1:7">
      <c r="A3" s="9" t="s">
        <v>36</v>
      </c>
      <c r="B3" s="9" t="s">
        <v>174</v>
      </c>
      <c r="C3" s="11">
        <v>1860000</v>
      </c>
      <c r="D3" s="11">
        <v>2730000</v>
      </c>
      <c r="E3" s="11">
        <v>870000</v>
      </c>
      <c r="F3" s="18">
        <v>6</v>
      </c>
      <c r="G3" s="9" t="s">
        <v>167</v>
      </c>
    </row>
    <row r="4" spans="1:7">
      <c r="A4" s="9" t="s">
        <v>37</v>
      </c>
      <c r="B4" s="9" t="s">
        <v>175</v>
      </c>
      <c r="C4" s="11">
        <v>2220000</v>
      </c>
      <c r="D4" s="11">
        <v>1620000</v>
      </c>
      <c r="E4" s="11">
        <v>-600000</v>
      </c>
      <c r="F4" s="18">
        <v>6</v>
      </c>
      <c r="G4" s="9" t="s">
        <v>169</v>
      </c>
    </row>
    <row r="5" spans="1:7">
      <c r="A5" s="9" t="s">
        <v>37</v>
      </c>
      <c r="B5" s="9" t="s">
        <v>176</v>
      </c>
      <c r="C5" s="11">
        <v>-1813.59</v>
      </c>
      <c r="D5" s="11">
        <v>-1847.66</v>
      </c>
      <c r="E5" s="11">
        <v>-34.07</v>
      </c>
      <c r="F5" s="18">
        <v>2</v>
      </c>
      <c r="G5" s="9" t="s">
        <v>169</v>
      </c>
    </row>
    <row r="6" spans="1:7">
      <c r="A6" s="9" t="s">
        <v>37</v>
      </c>
      <c r="B6" s="9" t="s">
        <v>177</v>
      </c>
      <c r="C6" s="11">
        <v>1835.16</v>
      </c>
      <c r="D6" s="11">
        <v>1804.68</v>
      </c>
      <c r="E6" s="11">
        <v>-30.48</v>
      </c>
      <c r="F6" s="18">
        <v>2</v>
      </c>
      <c r="G6" s="9" t="s">
        <v>169</v>
      </c>
    </row>
    <row r="7" spans="1:7">
      <c r="A7" s="9" t="s">
        <v>22</v>
      </c>
      <c r="B7" s="9" t="s">
        <v>178</v>
      </c>
      <c r="C7" s="11">
        <v>1080000</v>
      </c>
      <c r="D7" s="11">
        <v>1230000</v>
      </c>
      <c r="E7" s="11">
        <v>150000</v>
      </c>
      <c r="F7" s="18">
        <v>6</v>
      </c>
      <c r="G7" s="9" t="s">
        <v>171</v>
      </c>
    </row>
    <row r="8" spans="1:7">
      <c r="A8" s="9" t="s">
        <v>22</v>
      </c>
      <c r="B8" s="9" t="s">
        <v>179</v>
      </c>
      <c r="C8" s="11">
        <v>1470000</v>
      </c>
      <c r="D8" s="11">
        <v>1560000</v>
      </c>
      <c r="E8" s="11">
        <v>90000</v>
      </c>
      <c r="F8" s="18">
        <v>6</v>
      </c>
      <c r="G8" s="9" t="s">
        <v>171</v>
      </c>
    </row>
  </sheetData>
  <autoFilter ref="A1:G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46</v>
      </c>
    </row>
    <row r="2" spans="1:1">
      <c r="A2" s="17" t="s">
        <v>180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46</v>
      </c>
    </row>
    <row r="2" spans="1:1">
      <c r="A2" s="17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5.7109375" customWidth="1"/>
    <col min="4" max="4" width="54.7109375" customWidth="1"/>
  </cols>
  <sheetData>
    <row r="1" spans="1:4">
      <c r="A1" s="10" t="s">
        <v>127</v>
      </c>
      <c r="B1" s="10" t="s">
        <v>131</v>
      </c>
      <c r="C1" s="10" t="s">
        <v>182</v>
      </c>
      <c r="D1" s="10" t="s">
        <v>183</v>
      </c>
    </row>
    <row r="2" spans="1:4">
      <c r="A2" s="9" t="s">
        <v>135</v>
      </c>
      <c r="B2" s="9" t="s">
        <v>136</v>
      </c>
      <c r="C2" s="9" t="s">
        <v>137</v>
      </c>
      <c r="D2" s="9" t="s">
        <v>184</v>
      </c>
    </row>
    <row r="3" spans="1:4">
      <c r="A3" s="9" t="s">
        <v>138</v>
      </c>
      <c r="B3" s="9" t="s">
        <v>136</v>
      </c>
      <c r="C3" s="9" t="s">
        <v>139</v>
      </c>
      <c r="D3" s="9" t="s">
        <v>185</v>
      </c>
    </row>
    <row r="4" spans="1:4">
      <c r="A4" s="9" t="s">
        <v>140</v>
      </c>
      <c r="B4" s="9" t="s">
        <v>136</v>
      </c>
      <c r="C4" s="9" t="s">
        <v>141</v>
      </c>
      <c r="D4" s="9" t="s">
        <v>186</v>
      </c>
    </row>
    <row r="5" spans="1:4">
      <c r="A5" s="9" t="s">
        <v>142</v>
      </c>
      <c r="B5" s="9" t="s">
        <v>136</v>
      </c>
      <c r="C5" s="9" t="s">
        <v>143</v>
      </c>
      <c r="D5" s="9" t="s">
        <v>187</v>
      </c>
    </row>
    <row r="6" spans="1:4">
      <c r="A6" s="9" t="s">
        <v>144</v>
      </c>
      <c r="B6" s="9" t="s">
        <v>136</v>
      </c>
      <c r="C6" s="9" t="s">
        <v>145</v>
      </c>
      <c r="D6" s="9" t="s">
        <v>187</v>
      </c>
    </row>
    <row r="7" spans="1:4">
      <c r="A7" s="9" t="s">
        <v>146</v>
      </c>
      <c r="B7" s="9" t="s">
        <v>136</v>
      </c>
      <c r="C7" s="9" t="s">
        <v>147</v>
      </c>
      <c r="D7" s="9" t="s">
        <v>187</v>
      </c>
    </row>
    <row r="8" spans="1:4">
      <c r="A8" s="9" t="s">
        <v>148</v>
      </c>
      <c r="B8" s="9" t="s">
        <v>136</v>
      </c>
      <c r="C8" s="9" t="s">
        <v>149</v>
      </c>
      <c r="D8" s="9" t="s">
        <v>187</v>
      </c>
    </row>
    <row r="9" spans="1:4">
      <c r="A9" s="9" t="s">
        <v>150</v>
      </c>
      <c r="B9" s="9" t="s">
        <v>136</v>
      </c>
      <c r="C9" s="9" t="s">
        <v>151</v>
      </c>
      <c r="D9" s="9" t="s">
        <v>188</v>
      </c>
    </row>
    <row r="10" spans="1:4">
      <c r="A10" s="9" t="s">
        <v>152</v>
      </c>
      <c r="B10" s="9" t="s">
        <v>136</v>
      </c>
      <c r="C10" s="9" t="s">
        <v>153</v>
      </c>
      <c r="D10" s="9" t="s">
        <v>187</v>
      </c>
    </row>
    <row r="11" spans="1:4">
      <c r="A11" s="9" t="s">
        <v>154</v>
      </c>
      <c r="B11" s="9" t="s">
        <v>136</v>
      </c>
      <c r="C11" s="9" t="s">
        <v>155</v>
      </c>
      <c r="D11" s="9" t="s">
        <v>187</v>
      </c>
    </row>
    <row r="12" spans="1:4">
      <c r="A12" s="9" t="s">
        <v>156</v>
      </c>
      <c r="B12" s="9" t="s">
        <v>136</v>
      </c>
      <c r="C12" s="9" t="s">
        <v>157</v>
      </c>
      <c r="D12" s="9" t="s">
        <v>187</v>
      </c>
    </row>
  </sheetData>
  <autoFilter ref="A1:D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G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4" width="28.7109375" customWidth="1"/>
    <col min="5" max="6" width="14.7109375" customWidth="1"/>
    <col min="7" max="7" width="70.7109375" customWidth="1"/>
  </cols>
  <sheetData>
    <row r="1" spans="1:7">
      <c r="A1" s="10" t="s">
        <v>189</v>
      </c>
      <c r="B1" s="10" t="s">
        <v>190</v>
      </c>
      <c r="C1" s="10" t="s">
        <v>191</v>
      </c>
      <c r="D1" s="10" t="s">
        <v>192</v>
      </c>
      <c r="E1" s="10" t="s">
        <v>193</v>
      </c>
      <c r="F1" s="10" t="s">
        <v>194</v>
      </c>
      <c r="G1" s="10" t="s">
        <v>195</v>
      </c>
    </row>
    <row r="2" spans="1:7">
      <c r="A2" s="15">
        <v>46324.3896838083</v>
      </c>
      <c r="B2" s="9" t="s">
        <v>196</v>
      </c>
      <c r="C2" s="9" t="s">
        <v>197</v>
      </c>
      <c r="D2" s="9" t="s">
        <v>198</v>
      </c>
      <c r="E2" s="9" t="s">
        <v>199</v>
      </c>
      <c r="F2" s="9"/>
      <c r="G2" s="9" t="s">
        <v>200</v>
      </c>
    </row>
    <row r="3" spans="1:7">
      <c r="A3" s="15">
        <v>46324.3896838083</v>
      </c>
      <c r="B3" s="9" t="s">
        <v>196</v>
      </c>
      <c r="C3" s="9" t="s">
        <v>197</v>
      </c>
      <c r="D3" s="9" t="s">
        <v>201</v>
      </c>
      <c r="E3" s="9" t="s">
        <v>199</v>
      </c>
      <c r="F3" s="9"/>
      <c r="G3" s="9" t="s">
        <v>202</v>
      </c>
    </row>
    <row r="4" spans="1:7">
      <c r="A4" s="15">
        <v>46324.39008644928</v>
      </c>
      <c r="B4" s="9" t="s">
        <v>203</v>
      </c>
      <c r="C4" s="9" t="s">
        <v>204</v>
      </c>
      <c r="D4" s="9" t="s">
        <v>205</v>
      </c>
      <c r="E4" s="9" t="s">
        <v>206</v>
      </c>
      <c r="F4" s="9" t="s">
        <v>207</v>
      </c>
      <c r="G4" s="9" t="s">
        <v>208</v>
      </c>
    </row>
    <row r="5" spans="1:7">
      <c r="A5" s="15">
        <v>46324.39008644928</v>
      </c>
      <c r="B5" s="9" t="s">
        <v>203</v>
      </c>
      <c r="C5" s="9" t="s">
        <v>204</v>
      </c>
      <c r="D5" s="9" t="s">
        <v>209</v>
      </c>
      <c r="E5" s="9" t="s">
        <v>206</v>
      </c>
      <c r="F5" s="9" t="s">
        <v>207</v>
      </c>
      <c r="G5" s="9" t="s">
        <v>210</v>
      </c>
    </row>
    <row r="6" spans="1:7">
      <c r="A6" s="15">
        <v>46324.39008644928</v>
      </c>
      <c r="B6" s="9" t="s">
        <v>203</v>
      </c>
      <c r="C6" s="9" t="s">
        <v>204</v>
      </c>
      <c r="D6" s="9" t="s">
        <v>211</v>
      </c>
      <c r="E6" s="9" t="s">
        <v>206</v>
      </c>
      <c r="F6" s="9" t="s">
        <v>212</v>
      </c>
      <c r="G6" s="9" t="s">
        <v>7</v>
      </c>
    </row>
    <row r="7" spans="1:7">
      <c r="A7" s="15">
        <v>46324.39008644928</v>
      </c>
      <c r="B7" s="9" t="s">
        <v>203</v>
      </c>
      <c r="C7" s="9" t="s">
        <v>204</v>
      </c>
      <c r="D7" s="9" t="s">
        <v>213</v>
      </c>
      <c r="E7" s="9" t="s">
        <v>199</v>
      </c>
      <c r="F7" s="9"/>
      <c r="G7" s="9" t="s">
        <v>214</v>
      </c>
    </row>
    <row r="8" spans="1:7">
      <c r="A8" s="15">
        <v>46324.39008644928</v>
      </c>
      <c r="B8" s="9" t="s">
        <v>203</v>
      </c>
      <c r="C8" s="9" t="s">
        <v>204</v>
      </c>
      <c r="D8" s="9" t="s">
        <v>215</v>
      </c>
      <c r="E8" s="9" t="s">
        <v>206</v>
      </c>
      <c r="F8" s="9" t="s">
        <v>207</v>
      </c>
      <c r="G8" s="9" t="s">
        <v>216</v>
      </c>
    </row>
    <row r="9" spans="1:7">
      <c r="A9" s="15">
        <v>46324.39008644928</v>
      </c>
      <c r="B9" s="9" t="s">
        <v>203</v>
      </c>
      <c r="C9" s="9" t="s">
        <v>204</v>
      </c>
      <c r="D9" s="9" t="s">
        <v>217</v>
      </c>
      <c r="E9" s="9" t="s">
        <v>206</v>
      </c>
      <c r="F9" s="9"/>
      <c r="G9" s="9" t="s">
        <v>218</v>
      </c>
    </row>
    <row r="10" spans="1:7">
      <c r="A10" s="15">
        <v>46324.39008644928</v>
      </c>
      <c r="B10" s="9" t="s">
        <v>203</v>
      </c>
      <c r="C10" s="9" t="s">
        <v>204</v>
      </c>
      <c r="D10" s="9" t="s">
        <v>219</v>
      </c>
      <c r="E10" s="9" t="s">
        <v>206</v>
      </c>
      <c r="F10" s="9" t="s">
        <v>207</v>
      </c>
      <c r="G10" s="9" t="s">
        <v>220</v>
      </c>
    </row>
    <row r="11" spans="1:7">
      <c r="A11" s="15">
        <v>46324.39025839617</v>
      </c>
      <c r="B11" s="9" t="s">
        <v>203</v>
      </c>
      <c r="C11" s="9" t="s">
        <v>221</v>
      </c>
      <c r="D11" s="9" t="s">
        <v>222</v>
      </c>
      <c r="E11" s="9" t="s">
        <v>206</v>
      </c>
      <c r="F11" s="9"/>
      <c r="G11" s="9" t="s">
        <v>223</v>
      </c>
    </row>
    <row r="12" spans="1:7">
      <c r="A12" s="15">
        <v>46324.39025839617</v>
      </c>
      <c r="B12" s="9" t="s">
        <v>203</v>
      </c>
      <c r="C12" s="9" t="s">
        <v>221</v>
      </c>
      <c r="D12" s="9" t="s">
        <v>224</v>
      </c>
      <c r="E12" s="9" t="s">
        <v>206</v>
      </c>
      <c r="F12" s="9"/>
      <c r="G12" s="9" t="s">
        <v>225</v>
      </c>
    </row>
    <row r="13" spans="1:7">
      <c r="A13" s="15">
        <v>46324.39025839617</v>
      </c>
      <c r="B13" s="9" t="s">
        <v>203</v>
      </c>
      <c r="C13" s="9" t="s">
        <v>221</v>
      </c>
      <c r="D13" s="9" t="s">
        <v>215</v>
      </c>
      <c r="E13" s="9" t="s">
        <v>206</v>
      </c>
      <c r="F13" s="9" t="s">
        <v>216</v>
      </c>
      <c r="G13" s="9" t="s">
        <v>226</v>
      </c>
    </row>
    <row r="14" spans="1:7">
      <c r="A14" s="15">
        <v>46324.39025839617</v>
      </c>
      <c r="B14" s="9" t="s">
        <v>203</v>
      </c>
      <c r="C14" s="9" t="s">
        <v>221</v>
      </c>
      <c r="D14" s="9" t="s">
        <v>227</v>
      </c>
      <c r="E14" s="9" t="s">
        <v>206</v>
      </c>
      <c r="F14" s="9" t="s">
        <v>207</v>
      </c>
      <c r="G14" s="9" t="s">
        <v>228</v>
      </c>
    </row>
    <row r="15" spans="1:7">
      <c r="A15" s="15">
        <v>46324.39025839617</v>
      </c>
      <c r="B15" s="9" t="s">
        <v>203</v>
      </c>
      <c r="C15" s="9" t="s">
        <v>221</v>
      </c>
      <c r="D15" s="9" t="s">
        <v>229</v>
      </c>
      <c r="E15" s="9" t="s">
        <v>206</v>
      </c>
      <c r="F15" s="9" t="s">
        <v>207</v>
      </c>
      <c r="G15" s="9" t="s">
        <v>230</v>
      </c>
    </row>
    <row r="16" spans="1:7">
      <c r="A16" s="15">
        <v>46324.39025839617</v>
      </c>
      <c r="B16" s="9" t="s">
        <v>203</v>
      </c>
      <c r="C16" s="9" t="s">
        <v>221</v>
      </c>
      <c r="D16" s="9" t="s">
        <v>231</v>
      </c>
      <c r="E16" s="9" t="s">
        <v>206</v>
      </c>
      <c r="F16" s="9"/>
      <c r="G16" s="9" t="s">
        <v>232</v>
      </c>
    </row>
    <row r="17" spans="1:7">
      <c r="A17" s="15">
        <v>46324.39102419067</v>
      </c>
      <c r="B17" s="9" t="s">
        <v>203</v>
      </c>
      <c r="C17" s="9" t="s">
        <v>233</v>
      </c>
      <c r="D17" s="9" t="s">
        <v>234</v>
      </c>
      <c r="E17" s="9" t="s">
        <v>199</v>
      </c>
      <c r="F17" s="9"/>
      <c r="G17" s="9" t="s">
        <v>235</v>
      </c>
    </row>
    <row r="18" spans="1:7">
      <c r="A18" s="15">
        <v>46324.39102419067</v>
      </c>
      <c r="B18" s="9" t="s">
        <v>203</v>
      </c>
      <c r="C18" s="9" t="s">
        <v>233</v>
      </c>
      <c r="D18" s="9" t="s">
        <v>236</v>
      </c>
      <c r="E18" s="9" t="s">
        <v>199</v>
      </c>
      <c r="F18" s="9"/>
      <c r="G18" s="9" t="s">
        <v>237</v>
      </c>
    </row>
  </sheetData>
  <autoFilter ref="A1:G1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46</v>
      </c>
    </row>
    <row r="2" spans="1:1">
      <c r="A2" s="17" t="s">
        <v>238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0" t="s">
        <v>239</v>
      </c>
      <c r="B1" s="10" t="s">
        <v>240</v>
      </c>
    </row>
    <row r="2" spans="1:2">
      <c r="A2" s="9" t="s">
        <v>3</v>
      </c>
      <c r="B2" s="9" t="s">
        <v>4</v>
      </c>
    </row>
    <row r="3" spans="1:2">
      <c r="A3" s="9" t="s">
        <v>5</v>
      </c>
      <c r="B3" s="9" t="s">
        <v>241</v>
      </c>
    </row>
    <row r="4" spans="1:2">
      <c r="A4" s="9" t="s">
        <v>242</v>
      </c>
      <c r="B4" s="9" t="s">
        <v>243</v>
      </c>
    </row>
    <row r="5" spans="1:2">
      <c r="A5" s="9" t="s">
        <v>244</v>
      </c>
      <c r="B5" s="9" t="s">
        <v>245</v>
      </c>
    </row>
    <row r="6" spans="1:2">
      <c r="A6" s="9" t="s">
        <v>29</v>
      </c>
      <c r="B6" s="9" t="s">
        <v>30</v>
      </c>
    </row>
    <row r="7" spans="1:2">
      <c r="A7" s="9" t="s">
        <v>246</v>
      </c>
      <c r="B7" s="9" t="s">
        <v>247</v>
      </c>
    </row>
    <row r="8" spans="1:2">
      <c r="A8" s="9" t="s">
        <v>248</v>
      </c>
      <c r="B8" s="9" t="s">
        <v>249</v>
      </c>
    </row>
  </sheetData>
  <autoFilter ref="A1:B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70.7109375" customWidth="1"/>
  </cols>
  <sheetData>
    <row r="1" spans="1:3">
      <c r="A1" s="10" t="s">
        <v>250</v>
      </c>
      <c r="B1" s="10" t="s">
        <v>251</v>
      </c>
      <c r="C1" s="10" t="s">
        <v>252</v>
      </c>
    </row>
    <row r="2" spans="1:3">
      <c r="A2" s="18">
        <v>1</v>
      </c>
      <c r="B2" s="18">
        <v>1</v>
      </c>
      <c r="C2" s="9" t="s">
        <v>253</v>
      </c>
    </row>
    <row r="3" spans="1:3">
      <c r="A3" s="18">
        <v>2</v>
      </c>
      <c r="B3" s="18">
        <v>1</v>
      </c>
      <c r="C3" s="9" t="s">
        <v>254</v>
      </c>
    </row>
    <row r="4" spans="1:3">
      <c r="A4" s="18">
        <v>3</v>
      </c>
      <c r="B4" s="18">
        <v>1</v>
      </c>
      <c r="C4" s="9" t="s">
        <v>255</v>
      </c>
    </row>
    <row r="5" spans="1:3">
      <c r="A5" s="18">
        <v>4</v>
      </c>
      <c r="B5" s="18">
        <v>1</v>
      </c>
      <c r="C5" s="9" t="s">
        <v>256</v>
      </c>
    </row>
    <row r="6" spans="1:3">
      <c r="A6" s="18">
        <v>5</v>
      </c>
      <c r="B6" s="18">
        <v>1</v>
      </c>
      <c r="C6" s="9" t="s">
        <v>257</v>
      </c>
    </row>
    <row r="7" spans="1:3">
      <c r="A7" s="18">
        <v>6</v>
      </c>
      <c r="B7" s="18">
        <v>1</v>
      </c>
      <c r="C7" s="9" t="s">
        <v>258</v>
      </c>
    </row>
    <row r="8" spans="1:3">
      <c r="A8" s="18">
        <v>7</v>
      </c>
      <c r="B8" s="18">
        <v>1</v>
      </c>
      <c r="C8" s="9" t="s">
        <v>259</v>
      </c>
    </row>
    <row r="9" spans="1:3">
      <c r="A9" s="18">
        <v>8</v>
      </c>
      <c r="B9" s="18">
        <v>1</v>
      </c>
      <c r="C9" s="9" t="s">
        <v>260</v>
      </c>
    </row>
    <row r="10" spans="1:3">
      <c r="A10" s="18">
        <v>9</v>
      </c>
      <c r="B10" s="18">
        <v>1</v>
      </c>
      <c r="C10" s="9" t="s">
        <v>261</v>
      </c>
    </row>
  </sheetData>
  <autoFilter ref="A1:C1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A2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0" t="s">
        <v>262</v>
      </c>
    </row>
    <row r="2" spans="1:1">
      <c r="A2" s="9" t="s">
        <v>263</v>
      </c>
    </row>
    <row r="3" spans="1:1">
      <c r="A3" s="9" t="s">
        <v>264</v>
      </c>
    </row>
    <row r="4" spans="1:1">
      <c r="A4" s="9" t="s">
        <v>265</v>
      </c>
    </row>
    <row r="5" spans="1:1">
      <c r="A5" s="9" t="s">
        <v>266</v>
      </c>
    </row>
    <row r="6" spans="1:1">
      <c r="A6" s="9" t="s">
        <v>267</v>
      </c>
    </row>
    <row r="7" spans="1:1">
      <c r="A7" s="9" t="s">
        <v>268</v>
      </c>
    </row>
    <row r="8" spans="1:1">
      <c r="A8" s="9" t="s">
        <v>269</v>
      </c>
    </row>
    <row r="9" spans="1:1">
      <c r="A9" s="9" t="s">
        <v>270</v>
      </c>
    </row>
    <row r="10" spans="1:1">
      <c r="A10" s="9" t="s">
        <v>271</v>
      </c>
    </row>
    <row r="11" spans="1:1">
      <c r="A11" s="9" t="s">
        <v>272</v>
      </c>
    </row>
    <row r="12" spans="1:1">
      <c r="A12" s="9" t="s">
        <v>273</v>
      </c>
    </row>
    <row r="13" spans="1:1">
      <c r="A13" s="9" t="s">
        <v>274</v>
      </c>
    </row>
    <row r="14" spans="1:1">
      <c r="A14" s="9" t="s">
        <v>275</v>
      </c>
    </row>
    <row r="15" spans="1:1">
      <c r="A15" s="9" t="s">
        <v>276</v>
      </c>
    </row>
    <row r="16" spans="1:1">
      <c r="A16" s="9" t="s">
        <v>277</v>
      </c>
    </row>
    <row r="17" spans="1:1">
      <c r="A17" s="9" t="s">
        <v>278</v>
      </c>
    </row>
    <row r="18" spans="1:1">
      <c r="A18" s="9" t="s">
        <v>279</v>
      </c>
    </row>
    <row r="19" spans="1:1">
      <c r="A19" s="9" t="s">
        <v>280</v>
      </c>
    </row>
    <row r="20" spans="1:1">
      <c r="A20" s="9" t="s">
        <v>281</v>
      </c>
    </row>
    <row r="21" spans="1:1">
      <c r="A21" s="9" t="s">
        <v>282</v>
      </c>
    </row>
    <row r="22" spans="1:1">
      <c r="A22" s="9" t="s">
        <v>283</v>
      </c>
    </row>
    <row r="23" spans="1:1">
      <c r="A23" s="9" t="s">
        <v>284</v>
      </c>
    </row>
    <row r="24" spans="1:1">
      <c r="A24" s="9" t="s">
        <v>285</v>
      </c>
    </row>
    <row r="25" spans="1:1">
      <c r="A25" s="9" t="s">
        <v>286</v>
      </c>
    </row>
    <row r="26" spans="1:1">
      <c r="A26" s="9" t="s">
        <v>287</v>
      </c>
    </row>
    <row r="27" spans="1:1">
      <c r="A27" s="9" t="s">
        <v>288</v>
      </c>
    </row>
    <row r="28" spans="1:1">
      <c r="A28" s="9" t="s">
        <v>289</v>
      </c>
    </row>
    <row r="29" spans="1:1">
      <c r="A29" s="9" t="s">
        <v>290</v>
      </c>
    </row>
    <row r="30" spans="1:1">
      <c r="A30" s="9" t="s">
        <v>291</v>
      </c>
    </row>
    <row r="31" spans="1:1">
      <c r="A31" s="9" t="s">
        <v>292</v>
      </c>
    </row>
    <row r="32" spans="1:1">
      <c r="A32" s="9" t="s">
        <v>293</v>
      </c>
    </row>
    <row r="33" spans="1:1">
      <c r="A33" s="9" t="s">
        <v>294</v>
      </c>
    </row>
    <row r="34" spans="1:1">
      <c r="A34" s="9" t="s">
        <v>295</v>
      </c>
    </row>
    <row r="35" spans="1:1">
      <c r="A35" s="9" t="s">
        <v>296</v>
      </c>
    </row>
    <row r="36" spans="1:1">
      <c r="A36" s="9" t="s">
        <v>282</v>
      </c>
    </row>
    <row r="37" spans="1:1">
      <c r="A37" s="9" t="s">
        <v>297</v>
      </c>
    </row>
    <row r="38" spans="1:1">
      <c r="A38" s="9" t="s">
        <v>268</v>
      </c>
    </row>
    <row r="39" spans="1:1">
      <c r="A39" s="9" t="s">
        <v>298</v>
      </c>
    </row>
    <row r="40" spans="1:1">
      <c r="A40" s="9" t="s">
        <v>299</v>
      </c>
    </row>
    <row r="41" spans="1:1">
      <c r="A41" s="9" t="s">
        <v>300</v>
      </c>
    </row>
    <row r="42" spans="1:1">
      <c r="A42" s="9" t="s">
        <v>301</v>
      </c>
    </row>
    <row r="43" spans="1:1">
      <c r="A43" s="9" t="s">
        <v>302</v>
      </c>
    </row>
    <row r="44" spans="1:1">
      <c r="A44" s="9" t="s">
        <v>303</v>
      </c>
    </row>
    <row r="45" spans="1:1">
      <c r="A45" s="9" t="s">
        <v>304</v>
      </c>
    </row>
    <row r="46" spans="1:1">
      <c r="A46" s="9" t="s">
        <v>305</v>
      </c>
    </row>
    <row r="47" spans="1:1">
      <c r="A47" s="9" t="s">
        <v>306</v>
      </c>
    </row>
    <row r="48" spans="1:1">
      <c r="A48" s="9" t="s">
        <v>307</v>
      </c>
    </row>
    <row r="49" spans="1:1">
      <c r="A49" s="9" t="s">
        <v>308</v>
      </c>
    </row>
    <row r="50" spans="1:1">
      <c r="A50" s="9" t="s">
        <v>309</v>
      </c>
    </row>
    <row r="51" spans="1:1">
      <c r="A51" s="9" t="s">
        <v>310</v>
      </c>
    </row>
    <row r="52" spans="1:1">
      <c r="A52" s="9" t="s">
        <v>306</v>
      </c>
    </row>
    <row r="53" spans="1:1">
      <c r="A53" s="9" t="s">
        <v>311</v>
      </c>
    </row>
    <row r="54" spans="1:1">
      <c r="A54" s="9" t="s">
        <v>312</v>
      </c>
    </row>
    <row r="55" spans="1:1">
      <c r="A55" s="9" t="s">
        <v>313</v>
      </c>
    </row>
    <row r="56" spans="1:1">
      <c r="A56" s="9" t="s">
        <v>314</v>
      </c>
    </row>
    <row r="57" spans="1:1">
      <c r="A57" s="9" t="s">
        <v>268</v>
      </c>
    </row>
    <row r="58" spans="1:1">
      <c r="A58" s="9" t="s">
        <v>315</v>
      </c>
    </row>
    <row r="59" spans="1:1">
      <c r="A59" s="9" t="s">
        <v>316</v>
      </c>
    </row>
    <row r="60" spans="1:1">
      <c r="A60" s="9" t="s">
        <v>317</v>
      </c>
    </row>
    <row r="61" spans="1:1">
      <c r="A61" s="9" t="s">
        <v>318</v>
      </c>
    </row>
    <row r="62" spans="1:1">
      <c r="A62" s="9" t="s">
        <v>268</v>
      </c>
    </row>
    <row r="63" spans="1:1">
      <c r="A63" s="9" t="s">
        <v>319</v>
      </c>
    </row>
    <row r="64" spans="1:1">
      <c r="A64" s="9" t="s">
        <v>320</v>
      </c>
    </row>
    <row r="65" spans="1:1">
      <c r="A65" s="9" t="s">
        <v>321</v>
      </c>
    </row>
    <row r="66" spans="1:1">
      <c r="A66" s="9" t="s">
        <v>322</v>
      </c>
    </row>
    <row r="67" spans="1:1">
      <c r="A67" s="9" t="s">
        <v>268</v>
      </c>
    </row>
    <row r="68" spans="1:1">
      <c r="A68" s="9" t="s">
        <v>323</v>
      </c>
    </row>
    <row r="69" spans="1:1">
      <c r="A69" s="9" t="s">
        <v>324</v>
      </c>
    </row>
    <row r="70" spans="1:1">
      <c r="A70" s="9" t="s">
        <v>325</v>
      </c>
    </row>
    <row r="71" spans="1:1">
      <c r="A71" s="9" t="s">
        <v>326</v>
      </c>
    </row>
    <row r="72" spans="1:1">
      <c r="A72" s="9" t="s">
        <v>327</v>
      </c>
    </row>
    <row r="73" spans="1:1">
      <c r="A73" s="9" t="s">
        <v>328</v>
      </c>
    </row>
    <row r="74" spans="1:1">
      <c r="A74" s="9" t="s">
        <v>329</v>
      </c>
    </row>
    <row r="75" spans="1:1">
      <c r="A75" s="9" t="s">
        <v>330</v>
      </c>
    </row>
    <row r="76" spans="1:1">
      <c r="A76" s="9" t="s">
        <v>331</v>
      </c>
    </row>
    <row r="77" spans="1:1">
      <c r="A77" s="9" t="s">
        <v>332</v>
      </c>
    </row>
    <row r="78" spans="1:1">
      <c r="A78" s="9" t="s">
        <v>283</v>
      </c>
    </row>
    <row r="79" spans="1:1">
      <c r="A79" s="9" t="s">
        <v>333</v>
      </c>
    </row>
    <row r="80" spans="1:1">
      <c r="A80" s="9" t="s">
        <v>328</v>
      </c>
    </row>
    <row r="81" spans="1:1">
      <c r="A81" s="9" t="s">
        <v>334</v>
      </c>
    </row>
    <row r="82" spans="1:1">
      <c r="A82" s="9" t="s">
        <v>335</v>
      </c>
    </row>
    <row r="83" spans="1:1">
      <c r="A83" s="9" t="s">
        <v>336</v>
      </c>
    </row>
    <row r="84" spans="1:1">
      <c r="A84" s="9" t="s">
        <v>332</v>
      </c>
    </row>
    <row r="85" spans="1:1">
      <c r="A85" s="9" t="s">
        <v>297</v>
      </c>
    </row>
    <row r="86" spans="1:1">
      <c r="A86" s="9" t="s">
        <v>268</v>
      </c>
    </row>
    <row r="87" spans="1:1">
      <c r="A87" s="9" t="s">
        <v>337</v>
      </c>
    </row>
    <row r="88" spans="1:1">
      <c r="A88" s="9" t="s">
        <v>338</v>
      </c>
    </row>
    <row r="89" spans="1:1">
      <c r="A89" s="9" t="s">
        <v>339</v>
      </c>
    </row>
    <row r="90" spans="1:1">
      <c r="A90" s="9" t="s">
        <v>340</v>
      </c>
    </row>
    <row r="91" spans="1:1">
      <c r="A91" s="9" t="s">
        <v>341</v>
      </c>
    </row>
    <row r="92" spans="1:1">
      <c r="A92" s="9" t="s">
        <v>342</v>
      </c>
    </row>
    <row r="93" spans="1:1">
      <c r="A93" s="9" t="s">
        <v>297</v>
      </c>
    </row>
    <row r="94" spans="1:1">
      <c r="A94" s="9" t="s">
        <v>268</v>
      </c>
    </row>
    <row r="95" spans="1:1">
      <c r="A95" s="9" t="s">
        <v>343</v>
      </c>
    </row>
    <row r="96" spans="1:1">
      <c r="A96" s="9" t="s">
        <v>344</v>
      </c>
    </row>
    <row r="97" spans="1:1">
      <c r="A97" s="9" t="s">
        <v>345</v>
      </c>
    </row>
    <row r="98" spans="1:1">
      <c r="A98" s="9" t="s">
        <v>346</v>
      </c>
    </row>
    <row r="99" spans="1:1">
      <c r="A99" s="9" t="s">
        <v>347</v>
      </c>
    </row>
    <row r="100" spans="1:1">
      <c r="A100" s="9" t="s">
        <v>293</v>
      </c>
    </row>
    <row r="101" spans="1:1">
      <c r="A101" s="9" t="s">
        <v>348</v>
      </c>
    </row>
    <row r="102" spans="1:1">
      <c r="A102" s="9" t="s">
        <v>349</v>
      </c>
    </row>
    <row r="103" spans="1:1">
      <c r="A103" s="9" t="s">
        <v>293</v>
      </c>
    </row>
    <row r="104" spans="1:1">
      <c r="A104" s="9" t="s">
        <v>350</v>
      </c>
    </row>
    <row r="105" spans="1:1">
      <c r="A105" s="9" t="s">
        <v>297</v>
      </c>
    </row>
    <row r="106" spans="1:1">
      <c r="A106" s="9" t="s">
        <v>351</v>
      </c>
    </row>
    <row r="107" spans="1:1">
      <c r="A107" s="9" t="s">
        <v>352</v>
      </c>
    </row>
    <row r="108" spans="1:1">
      <c r="A108" s="9" t="s">
        <v>353</v>
      </c>
    </row>
    <row r="109" spans="1:1">
      <c r="A109" s="9" t="s">
        <v>354</v>
      </c>
    </row>
    <row r="110" spans="1:1">
      <c r="A110" s="9" t="s">
        <v>355</v>
      </c>
    </row>
    <row r="111" spans="1:1">
      <c r="A111" s="9" t="s">
        <v>356</v>
      </c>
    </row>
    <row r="112" spans="1:1">
      <c r="A112" s="9" t="s">
        <v>357</v>
      </c>
    </row>
    <row r="113" spans="1:1">
      <c r="A113" s="9" t="s">
        <v>358</v>
      </c>
    </row>
    <row r="114" spans="1:1">
      <c r="A114" s="9" t="s">
        <v>359</v>
      </c>
    </row>
    <row r="115" spans="1:1">
      <c r="A115" s="9" t="s">
        <v>283</v>
      </c>
    </row>
    <row r="116" spans="1:1">
      <c r="A116" s="9" t="s">
        <v>360</v>
      </c>
    </row>
    <row r="117" spans="1:1">
      <c r="A117" s="9" t="s">
        <v>361</v>
      </c>
    </row>
    <row r="118" spans="1:1">
      <c r="A118" s="9" t="s">
        <v>362</v>
      </c>
    </row>
    <row r="119" spans="1:1">
      <c r="A119" s="9" t="s">
        <v>363</v>
      </c>
    </row>
    <row r="120" spans="1:1">
      <c r="A120" s="9" t="s">
        <v>268</v>
      </c>
    </row>
    <row r="121" spans="1:1">
      <c r="A121" s="9" t="s">
        <v>364</v>
      </c>
    </row>
    <row r="122" spans="1:1">
      <c r="A122" s="9" t="s">
        <v>365</v>
      </c>
    </row>
    <row r="123" spans="1:1">
      <c r="A123" s="9" t="s">
        <v>268</v>
      </c>
    </row>
    <row r="124" spans="1:1">
      <c r="A124" s="9" t="s">
        <v>366</v>
      </c>
    </row>
    <row r="125" spans="1:1">
      <c r="A125" s="9" t="s">
        <v>367</v>
      </c>
    </row>
    <row r="126" spans="1:1">
      <c r="A126" s="9" t="s">
        <v>368</v>
      </c>
    </row>
    <row r="127" spans="1:1">
      <c r="A127" s="9" t="s">
        <v>369</v>
      </c>
    </row>
    <row r="128" spans="1:1">
      <c r="A128" s="9" t="s">
        <v>370</v>
      </c>
    </row>
    <row r="129" spans="1:1">
      <c r="A129" s="9" t="s">
        <v>371</v>
      </c>
    </row>
    <row r="130" spans="1:1">
      <c r="A130" s="9" t="s">
        <v>372</v>
      </c>
    </row>
    <row r="131" spans="1:1">
      <c r="A131" s="9" t="s">
        <v>373</v>
      </c>
    </row>
    <row r="132" spans="1:1">
      <c r="A132" s="9" t="s">
        <v>268</v>
      </c>
    </row>
    <row r="133" spans="1:1">
      <c r="A133" s="9" t="s">
        <v>374</v>
      </c>
    </row>
    <row r="134" spans="1:1">
      <c r="A134" s="9" t="s">
        <v>344</v>
      </c>
    </row>
    <row r="135" spans="1:1">
      <c r="A135" s="9" t="s">
        <v>375</v>
      </c>
    </row>
    <row r="136" spans="1:1">
      <c r="A136" s="9" t="s">
        <v>376</v>
      </c>
    </row>
    <row r="137" spans="1:1">
      <c r="A137" s="9" t="s">
        <v>283</v>
      </c>
    </row>
    <row r="138" spans="1:1">
      <c r="A138" s="9" t="s">
        <v>344</v>
      </c>
    </row>
    <row r="139" spans="1:1">
      <c r="A139" s="9" t="s">
        <v>377</v>
      </c>
    </row>
    <row r="140" spans="1:1">
      <c r="A140" s="9" t="s">
        <v>376</v>
      </c>
    </row>
    <row r="141" spans="1:1">
      <c r="A141" s="9" t="s">
        <v>283</v>
      </c>
    </row>
    <row r="142" spans="1:1">
      <c r="A142" s="9" t="s">
        <v>344</v>
      </c>
    </row>
    <row r="143" spans="1:1">
      <c r="A143" s="9" t="s">
        <v>378</v>
      </c>
    </row>
    <row r="144" spans="1:1">
      <c r="A144" s="9" t="s">
        <v>376</v>
      </c>
    </row>
    <row r="145" spans="1:1">
      <c r="A145" s="9" t="s">
        <v>283</v>
      </c>
    </row>
    <row r="146" spans="1:1">
      <c r="A146" s="9" t="s">
        <v>344</v>
      </c>
    </row>
    <row r="147" spans="1:1">
      <c r="A147" s="9" t="s">
        <v>379</v>
      </c>
    </row>
    <row r="148" spans="1:1">
      <c r="A148" s="9" t="s">
        <v>380</v>
      </c>
    </row>
    <row r="149" spans="1:1">
      <c r="A149" s="9" t="s">
        <v>283</v>
      </c>
    </row>
    <row r="150" spans="1:1">
      <c r="A150" s="9" t="s">
        <v>344</v>
      </c>
    </row>
    <row r="151" spans="1:1">
      <c r="A151" s="9" t="s">
        <v>381</v>
      </c>
    </row>
    <row r="152" spans="1:1">
      <c r="A152" s="9" t="s">
        <v>376</v>
      </c>
    </row>
    <row r="153" spans="1:1">
      <c r="A153" s="9" t="s">
        <v>283</v>
      </c>
    </row>
    <row r="154" spans="1:1">
      <c r="A154" s="9" t="s">
        <v>344</v>
      </c>
    </row>
    <row r="155" spans="1:1">
      <c r="A155" s="9" t="s">
        <v>382</v>
      </c>
    </row>
    <row r="156" spans="1:1">
      <c r="A156" s="9" t="s">
        <v>376</v>
      </c>
    </row>
    <row r="157" spans="1:1">
      <c r="A157" s="9" t="s">
        <v>283</v>
      </c>
    </row>
    <row r="158" spans="1:1">
      <c r="A158" s="9" t="s">
        <v>344</v>
      </c>
    </row>
    <row r="159" spans="1:1">
      <c r="A159" s="9" t="s">
        <v>383</v>
      </c>
    </row>
    <row r="160" spans="1:1">
      <c r="A160" s="9" t="s">
        <v>376</v>
      </c>
    </row>
    <row r="161" spans="1:1">
      <c r="A161" s="9" t="s">
        <v>283</v>
      </c>
    </row>
    <row r="162" spans="1:1">
      <c r="A162" s="9" t="s">
        <v>344</v>
      </c>
    </row>
    <row r="163" spans="1:1">
      <c r="A163" s="9" t="s">
        <v>384</v>
      </c>
    </row>
    <row r="164" spans="1:1">
      <c r="A164" s="9" t="s">
        <v>380</v>
      </c>
    </row>
    <row r="165" spans="1:1">
      <c r="A165" s="9" t="s">
        <v>283</v>
      </c>
    </row>
    <row r="166" spans="1:1">
      <c r="A166" s="9" t="s">
        <v>344</v>
      </c>
    </row>
    <row r="167" spans="1:1">
      <c r="A167" s="9" t="s">
        <v>385</v>
      </c>
    </row>
    <row r="168" spans="1:1">
      <c r="A168" s="9" t="s">
        <v>376</v>
      </c>
    </row>
    <row r="169" spans="1:1">
      <c r="A169" s="9" t="s">
        <v>283</v>
      </c>
    </row>
    <row r="170" spans="1:1">
      <c r="A170" s="9" t="s">
        <v>344</v>
      </c>
    </row>
    <row r="171" spans="1:1">
      <c r="A171" s="9" t="s">
        <v>386</v>
      </c>
    </row>
    <row r="172" spans="1:1">
      <c r="A172" s="9" t="s">
        <v>387</v>
      </c>
    </row>
    <row r="173" spans="1:1">
      <c r="A173" s="9" t="s">
        <v>388</v>
      </c>
    </row>
    <row r="174" spans="1:1">
      <c r="A174" s="9" t="s">
        <v>389</v>
      </c>
    </row>
    <row r="175" spans="1:1">
      <c r="A175" s="9" t="s">
        <v>282</v>
      </c>
    </row>
    <row r="176" spans="1:1">
      <c r="A176" s="9" t="s">
        <v>283</v>
      </c>
    </row>
    <row r="177" spans="1:1">
      <c r="A177" s="9" t="s">
        <v>344</v>
      </c>
    </row>
    <row r="178" spans="1:1">
      <c r="A178" s="9" t="s">
        <v>390</v>
      </c>
    </row>
    <row r="179" spans="1:1">
      <c r="A179" s="9" t="s">
        <v>380</v>
      </c>
    </row>
    <row r="180" spans="1:1">
      <c r="A180" s="9" t="s">
        <v>297</v>
      </c>
    </row>
    <row r="181" spans="1:1">
      <c r="A181" s="9" t="s">
        <v>351</v>
      </c>
    </row>
    <row r="182" spans="1:1">
      <c r="A182" s="9" t="s">
        <v>391</v>
      </c>
    </row>
    <row r="183" spans="1:1">
      <c r="A183" s="9" t="s">
        <v>392</v>
      </c>
    </row>
    <row r="184" spans="1:1">
      <c r="A184" s="9" t="s">
        <v>393</v>
      </c>
    </row>
    <row r="185" spans="1:1">
      <c r="A185" s="9" t="s">
        <v>394</v>
      </c>
    </row>
    <row r="186" spans="1:1">
      <c r="A186" s="9" t="s">
        <v>395</v>
      </c>
    </row>
    <row r="187" spans="1:1">
      <c r="A187" s="9" t="s">
        <v>396</v>
      </c>
    </row>
    <row r="188" spans="1:1">
      <c r="A188" s="9" t="s">
        <v>397</v>
      </c>
    </row>
    <row r="189" spans="1:1">
      <c r="A189" s="9" t="s">
        <v>398</v>
      </c>
    </row>
    <row r="190" spans="1:1">
      <c r="A190" s="9" t="s">
        <v>283</v>
      </c>
    </row>
    <row r="191" spans="1:1">
      <c r="A191" s="9" t="s">
        <v>399</v>
      </c>
    </row>
    <row r="192" spans="1:1">
      <c r="A192" s="9" t="s">
        <v>400</v>
      </c>
    </row>
    <row r="193" spans="1:1">
      <c r="A193" s="9" t="s">
        <v>401</v>
      </c>
    </row>
    <row r="194" spans="1:1">
      <c r="A194" s="9" t="s">
        <v>402</v>
      </c>
    </row>
    <row r="195" spans="1:1">
      <c r="A195" s="9" t="s">
        <v>403</v>
      </c>
    </row>
    <row r="196" spans="1:1">
      <c r="A196" s="9" t="s">
        <v>404</v>
      </c>
    </row>
    <row r="197" spans="1:1">
      <c r="A197" s="9" t="s">
        <v>288</v>
      </c>
    </row>
    <row r="198" spans="1:1">
      <c r="A198" s="9" t="s">
        <v>289</v>
      </c>
    </row>
    <row r="199" spans="1:1">
      <c r="A199" s="9" t="s">
        <v>290</v>
      </c>
    </row>
    <row r="200" spans="1:1">
      <c r="A200" s="9" t="s">
        <v>405</v>
      </c>
    </row>
    <row r="201" spans="1:1">
      <c r="A201" s="9" t="s">
        <v>406</v>
      </c>
    </row>
    <row r="202" spans="1:1">
      <c r="A202" s="9" t="s">
        <v>407</v>
      </c>
    </row>
    <row r="203" spans="1:1">
      <c r="A203" s="9" t="s">
        <v>408</v>
      </c>
    </row>
    <row r="204" spans="1:1">
      <c r="A204" s="9" t="s">
        <v>409</v>
      </c>
    </row>
    <row r="205" spans="1:1">
      <c r="A205" s="9" t="s">
        <v>292</v>
      </c>
    </row>
    <row r="206" spans="1:1">
      <c r="A206" s="9" t="s">
        <v>410</v>
      </c>
    </row>
    <row r="207" spans="1:1">
      <c r="A207" s="9" t="s">
        <v>400</v>
      </c>
    </row>
    <row r="208" spans="1:1">
      <c r="A208" s="9" t="s">
        <v>411</v>
      </c>
    </row>
    <row r="209" spans="1:1">
      <c r="A209" s="9" t="s">
        <v>412</v>
      </c>
    </row>
    <row r="210" spans="1:1">
      <c r="A210" s="9" t="s">
        <v>413</v>
      </c>
    </row>
    <row r="211" spans="1:1">
      <c r="A211" s="9" t="s">
        <v>404</v>
      </c>
    </row>
    <row r="212" spans="1:1">
      <c r="A212" s="9" t="s">
        <v>414</v>
      </c>
    </row>
    <row r="213" spans="1:1">
      <c r="A213" s="9" t="s">
        <v>289</v>
      </c>
    </row>
    <row r="214" spans="1:1">
      <c r="A214" s="9" t="s">
        <v>290</v>
      </c>
    </row>
    <row r="215" spans="1:1">
      <c r="A215" s="9" t="s">
        <v>405</v>
      </c>
    </row>
    <row r="216" spans="1:1">
      <c r="A216" s="9" t="s">
        <v>415</v>
      </c>
    </row>
    <row r="217" spans="1:1">
      <c r="A217" s="9" t="s">
        <v>416</v>
      </c>
    </row>
    <row r="218" spans="1:1">
      <c r="A218" s="9" t="s">
        <v>408</v>
      </c>
    </row>
    <row r="219" spans="1:1">
      <c r="A219" s="9" t="s">
        <v>409</v>
      </c>
    </row>
    <row r="220" spans="1:1">
      <c r="A220" s="9" t="s">
        <v>292</v>
      </c>
    </row>
    <row r="221" spans="1:1">
      <c r="A221" s="9" t="s">
        <v>282</v>
      </c>
    </row>
    <row r="222" spans="1:1">
      <c r="A222" s="9" t="s">
        <v>314</v>
      </c>
    </row>
    <row r="223" spans="1:1">
      <c r="A223" s="9" t="s">
        <v>417</v>
      </c>
    </row>
    <row r="224" spans="1:1">
      <c r="A224" s="9" t="s">
        <v>418</v>
      </c>
    </row>
  </sheetData>
  <autoFilter ref="A1:A2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- By country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2026-10-29T09:24:19Z</dcterms:created>
  <dcterms:modified xsi:type="dcterms:W3CDTF">2026-10-29T09:24:19Z</dcterms:modified>
</cp:coreProperties>
</file>